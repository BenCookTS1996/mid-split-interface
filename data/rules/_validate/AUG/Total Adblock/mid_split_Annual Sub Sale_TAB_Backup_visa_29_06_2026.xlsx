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nnual Sub Sale" sheetId="1" r:id="rId5"/>
    <sheet state="visible" name="Sheet3" sheetId="2" r:id="rId6"/>
  </sheets>
  <definedNames>
    <definedName hidden="1" localSheetId="0" name="_xlnm._FilterDatabase">'mid_split_Annual Sub Sale'!$A$1:$AR$31</definedName>
    <definedName hidden="1" localSheetId="1" name="_xlnm._FilterDatabase">Sheet3!$A$1:$B$1000</definedName>
  </definedNames>
  <calcPr/>
</workbook>
</file>

<file path=xl/sharedStrings.xml><?xml version="1.0" encoding="utf-8"?>
<sst xmlns="http://schemas.openxmlformats.org/spreadsheetml/2006/main" count="284" uniqueCount="59">
  <si>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</si>
  <si>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</si>
  <si>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</si>
  <si>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</si>
  <si>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</si>
  <si>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</si>
  <si>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</si>
  <si>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</si>
  <si>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</si>
  <si>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</si>
  <si>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adyen-usd-tab</t>
  </si>
  <si>
    <t>adyen-usd-tab-blockerpro</t>
  </si>
  <si>
    <t>adyen-usd-tab-emea</t>
  </si>
  <si>
    <t>adyen-usd-tab-mobile</t>
  </si>
  <si>
    <t>adyen-usd-tab-online</t>
  </si>
  <si>
    <t>adyen-usd-tab-pro</t>
  </si>
  <si>
    <t>adyen-usd-tsc-x-tab</t>
  </si>
  <si>
    <t>authorize-usd-tab</t>
  </si>
  <si>
    <t>bancard-usd-tab</t>
  </si>
  <si>
    <t>braintree-usd-tab</t>
  </si>
  <si>
    <t>checkout-usd-tab-new</t>
  </si>
  <si>
    <t>cwams-usd-tab</t>
  </si>
  <si>
    <t>paysafe-usd-tab</t>
  </si>
  <si>
    <t>woodforest-usd-tab</t>
  </si>
  <si>
    <t>worldpay-usd-tab-nt</t>
  </si>
  <si>
    <t>adyen-gbp-tab</t>
  </si>
  <si>
    <t>adyen-gbp-tab-online</t>
  </si>
  <si>
    <t>adyen-gbp-tab-pro</t>
  </si>
  <si>
    <t>braintree-gbp-tab</t>
  </si>
  <si>
    <t>checkout-gbp-tab-new</t>
  </si>
  <si>
    <t>paysafe-gbp-tab</t>
  </si>
  <si>
    <t>adyen-eur-tab</t>
  </si>
  <si>
    <t>braintree-eur-tab</t>
  </si>
  <si>
    <t>checkout-eur-tab-new</t>
  </si>
  <si>
    <t>paysafe-eur-tab</t>
  </si>
  <si>
    <t>adyen-cad-tab</t>
  </si>
  <si>
    <t>braintree-cad-tab</t>
  </si>
  <si>
    <t>checkout-cad-tab-new</t>
  </si>
  <si>
    <t>paysafe-cad-tab</t>
  </si>
  <si>
    <t>adyen-aud-tab</t>
  </si>
  <si>
    <t>braintree-aud-tab</t>
  </si>
  <si>
    <t>checkout-aud-tab-new</t>
  </si>
  <si>
    <t>paysafe-aud-tab</t>
  </si>
  <si>
    <t>DUP CHECK</t>
  </si>
  <si>
    <t>condition_1</t>
  </si>
  <si>
    <t>Total Adblock</t>
  </si>
  <si>
    <t>Annual Sub Sale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</si>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</sst>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1" xfId="0" applyAlignment="1" applyFont="1" applyNumberFormat="1">
      <alignment horizontal="right" readingOrder="0" vertical="bottom"/>
    </xf>
    <xf borderId="0" fillId="0" fontId="5" numFmtId="0" xfId="0" applyFont="1"/>
    <xf borderId="0" fillId="0" fontId="6" numFmtId="0" xfId="0" applyAlignment="1" applyFont="1">
      <alignment horizontal="right" vertical="bottom"/>
    </xf>
    <xf borderId="0" fillId="0" fontId="4" numFmtId="1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7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10.88"/>
    <col customWidth="1" min="4" max="4" width="13.38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24.0"/>
    <col customWidth="1" min="13" max="13" width="19.75"/>
    <col customWidth="1" min="14" max="14" width="20.75"/>
    <col customWidth="1" min="15" max="15" width="20.38"/>
    <col customWidth="1" min="16" max="16" width="18.13"/>
    <col customWidth="1" min="17" max="17" width="19.38"/>
    <col customWidth="1" min="18" max="18" width="17.5"/>
    <col customWidth="1" min="19" max="19" width="16.5"/>
    <col customWidth="1" min="20" max="20" width="17.25"/>
    <col customWidth="1" min="21" max="21" width="21.13"/>
    <col customWidth="1" min="22" max="22" width="15.63"/>
    <col customWidth="1" min="23" max="23" width="16.25"/>
    <col customWidth="1" min="24" max="24" width="19.0"/>
    <col customWidth="1" min="25" max="25" width="19.5"/>
    <col customWidth="1" min="26" max="26" width="15.0"/>
    <col customWidth="1" min="27" max="27" width="20.5"/>
    <col customWidth="1" min="28" max="28" width="18.25"/>
    <col customWidth="1" min="29" max="29" width="17.25"/>
    <col customWidth="1" min="30" max="30" width="21.25"/>
    <col customWidth="1" min="31" max="31" width="16.38"/>
    <col customWidth="1" min="32" max="32" width="14.5"/>
    <col customWidth="1" min="33" max="33" width="16.88"/>
    <col customWidth="1" min="34" max="34" width="20.88"/>
    <col customWidth="1" min="35" max="35" width="15.88"/>
    <col customWidth="1" min="36" max="36" width="14.75"/>
    <col customWidth="1" min="37" max="37" width="17.13"/>
    <col customWidth="1" min="38" max="38" width="21.13"/>
    <col customWidth="1" min="39" max="39" width="16.13"/>
    <col customWidth="1" min="40" max="40" width="14.88"/>
    <col customWidth="1" min="41" max="41" width="17.25"/>
    <col customWidth="1" min="42" max="42" width="21.13"/>
    <col customWidth="1" min="43" max="43" width="16.25"/>
    <col customWidth="1" min="44" max="4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4">
        <v>46202.0</v>
      </c>
      <c r="B2" s="5" t="s">
        <v>44</v>
      </c>
      <c r="C2" s="5" t="s">
        <v>45</v>
      </c>
      <c r="D2" s="6" t="s">
        <v>46</v>
      </c>
      <c r="E2" s="5" t="s">
        <v>47</v>
      </c>
      <c r="F2" s="5" t="s">
        <v>48</v>
      </c>
      <c r="G2" s="6" t="s">
        <v>49</v>
      </c>
      <c r="H2" s="5" t="s">
        <v>50</v>
      </c>
      <c r="I2" s="7" t="s">
        <v>51</v>
      </c>
      <c r="J2" s="10">
        <f t="shared" ref="J2:J31" si="1">sum(K2:AQ2)</f>
        <v>100</v>
      </c>
      <c r="K2" s="11">
        <v>10.0</v>
      </c>
      <c r="L2" s="11">
        <v>15.0</v>
      </c>
      <c r="M2" s="11">
        <v>0.0</v>
      </c>
      <c r="N2" s="11">
        <v>15.0</v>
      </c>
      <c r="O2" s="11">
        <v>15.0</v>
      </c>
      <c r="P2" s="11">
        <v>0.0</v>
      </c>
      <c r="Q2" s="11">
        <v>0.0</v>
      </c>
      <c r="R2" s="11">
        <v>0.0</v>
      </c>
      <c r="S2" s="11">
        <v>1.0</v>
      </c>
      <c r="T2" s="12">
        <v>14.0</v>
      </c>
      <c r="U2" s="11">
        <v>10.0</v>
      </c>
      <c r="V2" s="11">
        <v>0.0</v>
      </c>
      <c r="W2" s="11">
        <v>10.0</v>
      </c>
      <c r="X2" s="11">
        <v>0.0</v>
      </c>
      <c r="Y2" s="11">
        <v>10.0</v>
      </c>
      <c r="Z2" s="11">
        <v>0.0</v>
      </c>
      <c r="AA2" s="11">
        <v>0.0</v>
      </c>
      <c r="AB2" s="11">
        <v>0.0</v>
      </c>
      <c r="AC2" s="11">
        <v>0.0</v>
      </c>
      <c r="AD2" s="11">
        <v>0.0</v>
      </c>
      <c r="AE2" s="11">
        <v>0.0</v>
      </c>
      <c r="AF2" s="11">
        <v>0.0</v>
      </c>
      <c r="AG2" s="11">
        <v>0.0</v>
      </c>
      <c r="AH2" s="11">
        <v>0.0</v>
      </c>
      <c r="AI2" s="11">
        <v>0.0</v>
      </c>
      <c r="AJ2" s="11">
        <v>0.0</v>
      </c>
      <c r="AK2" s="11">
        <v>0.0</v>
      </c>
      <c r="AL2" s="11">
        <v>0.0</v>
      </c>
      <c r="AM2" s="11">
        <v>0.0</v>
      </c>
      <c r="AN2" s="11">
        <v>0.0</v>
      </c>
      <c r="AO2" s="11">
        <v>0.0</v>
      </c>
      <c r="AP2" s="11">
        <v>0.0</v>
      </c>
      <c r="AQ2" s="11">
        <v>0.0</v>
      </c>
      <c r="AR2" s="11">
        <f t="shared" ref="AR2:AR31" si="2">COUNTIFS(F:F,F2,G:G,G2,E:E,E2,D:D,D2,C:C,C2,H:H,H2,A:A,A2,I:I,I2)</f>
        <v>1</v>
      </c>
    </row>
    <row r="3">
      <c r="A3" s="4">
        <v>46202.0</v>
      </c>
      <c r="B3" s="5" t="s">
        <v>44</v>
      </c>
      <c r="C3" s="5" t="s">
        <v>45</v>
      </c>
      <c r="D3" s="6" t="s">
        <v>46</v>
      </c>
      <c r="E3" s="5" t="s">
        <v>52</v>
      </c>
      <c r="F3" s="5" t="s">
        <v>48</v>
      </c>
      <c r="G3" s="6" t="s">
        <v>49</v>
      </c>
      <c r="H3" s="5" t="s">
        <v>50</v>
      </c>
      <c r="I3" s="7" t="s">
        <v>51</v>
      </c>
      <c r="J3" s="10">
        <f t="shared" si="1"/>
        <v>100</v>
      </c>
      <c r="K3" s="11">
        <v>0.0</v>
      </c>
      <c r="L3" s="11">
        <v>0.0</v>
      </c>
      <c r="M3" s="11">
        <v>0.0</v>
      </c>
      <c r="N3" s="11">
        <v>0.0</v>
      </c>
      <c r="O3" s="11">
        <v>0.0</v>
      </c>
      <c r="P3" s="11">
        <v>0.0</v>
      </c>
      <c r="Q3" s="11">
        <v>0.0</v>
      </c>
      <c r="R3" s="11">
        <v>0.0</v>
      </c>
      <c r="S3" s="11">
        <v>0.0</v>
      </c>
      <c r="T3" s="11">
        <v>0.0</v>
      </c>
      <c r="U3" s="11">
        <v>0.0</v>
      </c>
      <c r="V3" s="11">
        <v>0.0</v>
      </c>
      <c r="W3" s="11">
        <v>0.0</v>
      </c>
      <c r="X3" s="11">
        <v>0.0</v>
      </c>
      <c r="Y3" s="11">
        <v>0.0</v>
      </c>
      <c r="Z3" s="11">
        <v>15.0</v>
      </c>
      <c r="AA3" s="11">
        <v>20.0</v>
      </c>
      <c r="AB3" s="11">
        <v>20.0</v>
      </c>
      <c r="AC3" s="11">
        <v>15.0</v>
      </c>
      <c r="AD3" s="11">
        <v>15.0</v>
      </c>
      <c r="AE3" s="11">
        <v>15.0</v>
      </c>
      <c r="AF3" s="11">
        <v>0.0</v>
      </c>
      <c r="AG3" s="11">
        <v>0.0</v>
      </c>
      <c r="AH3" s="11">
        <v>0.0</v>
      </c>
      <c r="AI3" s="11">
        <v>0.0</v>
      </c>
      <c r="AJ3" s="11">
        <v>0.0</v>
      </c>
      <c r="AK3" s="11">
        <v>0.0</v>
      </c>
      <c r="AL3" s="11">
        <v>0.0</v>
      </c>
      <c r="AM3" s="11">
        <v>0.0</v>
      </c>
      <c r="AN3" s="11">
        <v>0.0</v>
      </c>
      <c r="AO3" s="11">
        <v>0.0</v>
      </c>
      <c r="AP3" s="11">
        <v>0.0</v>
      </c>
      <c r="AQ3" s="11">
        <v>0.0</v>
      </c>
      <c r="AR3" s="11">
        <f t="shared" si="2"/>
        <v>1</v>
      </c>
    </row>
    <row r="4">
      <c r="A4" s="4">
        <v>46202.0</v>
      </c>
      <c r="B4" s="5" t="s">
        <v>44</v>
      </c>
      <c r="C4" s="5" t="s">
        <v>45</v>
      </c>
      <c r="D4" s="6" t="s">
        <v>46</v>
      </c>
      <c r="E4" s="5" t="s">
        <v>53</v>
      </c>
      <c r="F4" s="5" t="s">
        <v>48</v>
      </c>
      <c r="G4" s="6" t="s">
        <v>49</v>
      </c>
      <c r="H4" s="5" t="s">
        <v>50</v>
      </c>
      <c r="I4" s="7" t="s">
        <v>51</v>
      </c>
      <c r="J4" s="10">
        <f t="shared" si="1"/>
        <v>100</v>
      </c>
      <c r="K4" s="11">
        <v>0.0</v>
      </c>
      <c r="L4" s="11">
        <v>0.0</v>
      </c>
      <c r="M4" s="11">
        <v>0.0</v>
      </c>
      <c r="N4" s="11">
        <v>0.0</v>
      </c>
      <c r="O4" s="11">
        <v>0.0</v>
      </c>
      <c r="P4" s="11">
        <v>0.0</v>
      </c>
      <c r="Q4" s="11">
        <v>0.0</v>
      </c>
      <c r="R4" s="11">
        <v>0.0</v>
      </c>
      <c r="S4" s="11">
        <v>0.0</v>
      </c>
      <c r="T4" s="11">
        <v>0.0</v>
      </c>
      <c r="U4" s="11">
        <v>0.0</v>
      </c>
      <c r="V4" s="11">
        <v>0.0</v>
      </c>
      <c r="W4" s="11">
        <v>0.0</v>
      </c>
      <c r="X4" s="11">
        <v>0.0</v>
      </c>
      <c r="Y4" s="11">
        <v>0.0</v>
      </c>
      <c r="Z4" s="11">
        <v>0.0</v>
      </c>
      <c r="AA4" s="11">
        <v>0.0</v>
      </c>
      <c r="AB4" s="11">
        <v>0.0</v>
      </c>
      <c r="AC4" s="11">
        <v>0.0</v>
      </c>
      <c r="AD4" s="11">
        <v>0.0</v>
      </c>
      <c r="AE4" s="11">
        <v>0.0</v>
      </c>
      <c r="AF4" s="11">
        <v>30.0</v>
      </c>
      <c r="AG4" s="11">
        <v>25.0</v>
      </c>
      <c r="AH4" s="11">
        <v>25.0</v>
      </c>
      <c r="AI4" s="11">
        <v>20.0</v>
      </c>
      <c r="AJ4" s="11">
        <v>0.0</v>
      </c>
      <c r="AK4" s="11">
        <v>0.0</v>
      </c>
      <c r="AL4" s="11">
        <v>0.0</v>
      </c>
      <c r="AM4" s="11">
        <v>0.0</v>
      </c>
      <c r="AN4" s="11">
        <v>0.0</v>
      </c>
      <c r="AO4" s="11">
        <v>0.0</v>
      </c>
      <c r="AP4" s="11">
        <v>0.0</v>
      </c>
      <c r="AQ4" s="11">
        <v>0.0</v>
      </c>
      <c r="AR4" s="11">
        <f t="shared" si="2"/>
        <v>1</v>
      </c>
    </row>
    <row r="5">
      <c r="A5" s="4">
        <v>46202.0</v>
      </c>
      <c r="B5" s="5" t="s">
        <v>44</v>
      </c>
      <c r="C5" s="5" t="s">
        <v>45</v>
      </c>
      <c r="D5" s="6" t="s">
        <v>46</v>
      </c>
      <c r="E5" s="5" t="s">
        <v>54</v>
      </c>
      <c r="F5" s="5" t="s">
        <v>48</v>
      </c>
      <c r="G5" s="6" t="s">
        <v>49</v>
      </c>
      <c r="H5" s="5" t="s">
        <v>50</v>
      </c>
      <c r="I5" s="7" t="s">
        <v>51</v>
      </c>
      <c r="J5" s="10">
        <f t="shared" si="1"/>
        <v>100</v>
      </c>
      <c r="K5" s="11">
        <v>0.0</v>
      </c>
      <c r="L5" s="11">
        <v>0.0</v>
      </c>
      <c r="M5" s="11">
        <v>0.0</v>
      </c>
      <c r="N5" s="11">
        <v>0.0</v>
      </c>
      <c r="O5" s="11">
        <v>0.0</v>
      </c>
      <c r="P5" s="11">
        <v>0.0</v>
      </c>
      <c r="Q5" s="11">
        <v>0.0</v>
      </c>
      <c r="R5" s="11">
        <v>0.0</v>
      </c>
      <c r="S5" s="11">
        <v>0.0</v>
      </c>
      <c r="T5" s="11">
        <v>0.0</v>
      </c>
      <c r="U5" s="11">
        <v>0.0</v>
      </c>
      <c r="V5" s="11">
        <v>0.0</v>
      </c>
      <c r="W5" s="11">
        <v>0.0</v>
      </c>
      <c r="X5" s="11">
        <v>0.0</v>
      </c>
      <c r="Y5" s="11">
        <v>0.0</v>
      </c>
      <c r="Z5" s="11">
        <v>0.0</v>
      </c>
      <c r="AA5" s="11">
        <v>0.0</v>
      </c>
      <c r="AB5" s="11">
        <v>0.0</v>
      </c>
      <c r="AC5" s="11">
        <v>0.0</v>
      </c>
      <c r="AD5" s="11">
        <v>0.0</v>
      </c>
      <c r="AE5" s="11">
        <v>0.0</v>
      </c>
      <c r="AF5" s="11">
        <v>0.0</v>
      </c>
      <c r="AG5" s="11">
        <v>0.0</v>
      </c>
      <c r="AH5" s="11">
        <v>0.0</v>
      </c>
      <c r="AI5" s="11">
        <v>0.0</v>
      </c>
      <c r="AJ5" s="11">
        <v>25.0</v>
      </c>
      <c r="AK5" s="11">
        <v>25.0</v>
      </c>
      <c r="AL5" s="11">
        <v>25.0</v>
      </c>
      <c r="AM5" s="11">
        <v>25.0</v>
      </c>
      <c r="AN5" s="11">
        <v>0.0</v>
      </c>
      <c r="AO5" s="11">
        <v>0.0</v>
      </c>
      <c r="AP5" s="11">
        <v>0.0</v>
      </c>
      <c r="AQ5" s="11">
        <v>0.0</v>
      </c>
      <c r="AR5" s="11">
        <f t="shared" si="2"/>
        <v>1</v>
      </c>
    </row>
    <row r="6">
      <c r="A6" s="4">
        <v>46202.0</v>
      </c>
      <c r="B6" s="5" t="s">
        <v>44</v>
      </c>
      <c r="C6" s="5" t="s">
        <v>45</v>
      </c>
      <c r="D6" s="6" t="s">
        <v>46</v>
      </c>
      <c r="E6" s="5" t="s">
        <v>55</v>
      </c>
      <c r="F6" s="5" t="s">
        <v>48</v>
      </c>
      <c r="G6" s="6" t="s">
        <v>49</v>
      </c>
      <c r="H6" s="5" t="s">
        <v>50</v>
      </c>
      <c r="I6" s="7" t="s">
        <v>51</v>
      </c>
      <c r="J6" s="10">
        <f t="shared" si="1"/>
        <v>100</v>
      </c>
      <c r="K6" s="11">
        <v>0.0</v>
      </c>
      <c r="L6" s="11">
        <v>0.0</v>
      </c>
      <c r="M6" s="11">
        <v>0.0</v>
      </c>
      <c r="N6" s="11">
        <v>0.0</v>
      </c>
      <c r="O6" s="11">
        <v>0.0</v>
      </c>
      <c r="P6" s="11">
        <v>0.0</v>
      </c>
      <c r="Q6" s="11">
        <v>0.0</v>
      </c>
      <c r="R6" s="11">
        <v>0.0</v>
      </c>
      <c r="S6" s="11">
        <v>0.0</v>
      </c>
      <c r="T6" s="11">
        <v>0.0</v>
      </c>
      <c r="U6" s="11">
        <v>0.0</v>
      </c>
      <c r="V6" s="11">
        <v>0.0</v>
      </c>
      <c r="W6" s="11">
        <v>0.0</v>
      </c>
      <c r="X6" s="11">
        <v>0.0</v>
      </c>
      <c r="Y6" s="11">
        <v>0.0</v>
      </c>
      <c r="Z6" s="11">
        <v>0.0</v>
      </c>
      <c r="AA6" s="11">
        <v>0.0</v>
      </c>
      <c r="AB6" s="11">
        <v>0.0</v>
      </c>
      <c r="AC6" s="11">
        <v>0.0</v>
      </c>
      <c r="AD6" s="11">
        <v>0.0</v>
      </c>
      <c r="AE6" s="11">
        <v>0.0</v>
      </c>
      <c r="AF6" s="11">
        <v>0.0</v>
      </c>
      <c r="AG6" s="11">
        <v>0.0</v>
      </c>
      <c r="AH6" s="11">
        <v>0.0</v>
      </c>
      <c r="AI6" s="11">
        <v>0.0</v>
      </c>
      <c r="AJ6" s="11">
        <v>0.0</v>
      </c>
      <c r="AK6" s="11">
        <v>0.0</v>
      </c>
      <c r="AL6" s="11">
        <v>0.0</v>
      </c>
      <c r="AM6" s="11">
        <v>0.0</v>
      </c>
      <c r="AN6" s="11">
        <v>25.0</v>
      </c>
      <c r="AO6" s="11">
        <v>25.0</v>
      </c>
      <c r="AP6" s="11">
        <v>25.0</v>
      </c>
      <c r="AQ6" s="11">
        <v>25.0</v>
      </c>
      <c r="AR6" s="11">
        <f t="shared" si="2"/>
        <v>1</v>
      </c>
    </row>
    <row r="7">
      <c r="A7" s="4">
        <v>46202.0</v>
      </c>
      <c r="B7" s="5" t="s">
        <v>44</v>
      </c>
      <c r="C7" s="5" t="s">
        <v>45</v>
      </c>
      <c r="D7" s="6" t="s">
        <v>46</v>
      </c>
      <c r="E7" s="5" t="s">
        <v>47</v>
      </c>
      <c r="F7" s="5" t="s">
        <v>48</v>
      </c>
      <c r="G7" s="6" t="s">
        <v>56</v>
      </c>
      <c r="H7" s="5" t="s">
        <v>50</v>
      </c>
      <c r="I7" s="7" t="s">
        <v>51</v>
      </c>
      <c r="J7" s="10">
        <f t="shared" si="1"/>
        <v>100</v>
      </c>
      <c r="K7" s="11">
        <v>10.0</v>
      </c>
      <c r="L7" s="11">
        <v>15.0</v>
      </c>
      <c r="M7" s="11">
        <v>0.0</v>
      </c>
      <c r="N7" s="11">
        <v>15.0</v>
      </c>
      <c r="O7" s="11">
        <v>15.0</v>
      </c>
      <c r="P7" s="11">
        <v>0.0</v>
      </c>
      <c r="Q7" s="11">
        <v>0.0</v>
      </c>
      <c r="R7" s="11">
        <v>0.0</v>
      </c>
      <c r="S7" s="13">
        <v>0.0</v>
      </c>
      <c r="T7" s="13">
        <v>15.0</v>
      </c>
      <c r="U7" s="11">
        <v>10.0</v>
      </c>
      <c r="V7" s="11">
        <v>0.0</v>
      </c>
      <c r="W7" s="11">
        <v>10.0</v>
      </c>
      <c r="X7" s="11">
        <v>0.0</v>
      </c>
      <c r="Y7" s="11">
        <v>10.0</v>
      </c>
      <c r="Z7" s="11">
        <v>0.0</v>
      </c>
      <c r="AA7" s="11">
        <v>0.0</v>
      </c>
      <c r="AB7" s="11">
        <v>0.0</v>
      </c>
      <c r="AC7" s="11">
        <v>0.0</v>
      </c>
      <c r="AD7" s="11">
        <v>0.0</v>
      </c>
      <c r="AE7" s="11">
        <v>0.0</v>
      </c>
      <c r="AF7" s="11">
        <v>0.0</v>
      </c>
      <c r="AG7" s="11">
        <v>0.0</v>
      </c>
      <c r="AH7" s="11">
        <v>0.0</v>
      </c>
      <c r="AI7" s="11">
        <v>0.0</v>
      </c>
      <c r="AJ7" s="11">
        <v>0.0</v>
      </c>
      <c r="AK7" s="11">
        <v>0.0</v>
      </c>
      <c r="AL7" s="11">
        <v>0.0</v>
      </c>
      <c r="AM7" s="11">
        <v>0.0</v>
      </c>
      <c r="AN7" s="11">
        <v>0.0</v>
      </c>
      <c r="AO7" s="11">
        <v>0.0</v>
      </c>
      <c r="AP7" s="11">
        <v>0.0</v>
      </c>
      <c r="AQ7" s="11">
        <v>0.0</v>
      </c>
      <c r="AR7" s="11">
        <f t="shared" si="2"/>
        <v>1</v>
      </c>
    </row>
    <row r="8">
      <c r="A8" s="4">
        <v>46202.0</v>
      </c>
      <c r="B8" s="5" t="s">
        <v>44</v>
      </c>
      <c r="C8" s="5" t="s">
        <v>45</v>
      </c>
      <c r="D8" s="6" t="s">
        <v>46</v>
      </c>
      <c r="E8" s="5" t="s">
        <v>52</v>
      </c>
      <c r="F8" s="5" t="s">
        <v>48</v>
      </c>
      <c r="G8" s="6" t="s">
        <v>56</v>
      </c>
      <c r="H8" s="5" t="s">
        <v>50</v>
      </c>
      <c r="I8" s="7" t="s">
        <v>51</v>
      </c>
      <c r="J8" s="10">
        <f t="shared" si="1"/>
        <v>100</v>
      </c>
      <c r="K8" s="11">
        <v>0.0</v>
      </c>
      <c r="L8" s="11">
        <v>0.0</v>
      </c>
      <c r="M8" s="11">
        <v>0.0</v>
      </c>
      <c r="N8" s="11">
        <v>0.0</v>
      </c>
      <c r="O8" s="11">
        <v>0.0</v>
      </c>
      <c r="P8" s="11">
        <v>0.0</v>
      </c>
      <c r="Q8" s="11">
        <v>0.0</v>
      </c>
      <c r="R8" s="11">
        <v>0.0</v>
      </c>
      <c r="S8" s="13">
        <v>0.0</v>
      </c>
      <c r="T8" s="11">
        <v>0.0</v>
      </c>
      <c r="U8" s="11">
        <v>0.0</v>
      </c>
      <c r="V8" s="11">
        <v>0.0</v>
      </c>
      <c r="W8" s="11">
        <v>0.0</v>
      </c>
      <c r="X8" s="11">
        <v>0.0</v>
      </c>
      <c r="Y8" s="11">
        <v>0.0</v>
      </c>
      <c r="Z8" s="11">
        <v>15.0</v>
      </c>
      <c r="AA8" s="11">
        <v>20.0</v>
      </c>
      <c r="AB8" s="11">
        <v>20.0</v>
      </c>
      <c r="AC8" s="11">
        <v>15.0</v>
      </c>
      <c r="AD8" s="11">
        <v>15.0</v>
      </c>
      <c r="AE8" s="11">
        <v>15.0</v>
      </c>
      <c r="AF8" s="11">
        <v>0.0</v>
      </c>
      <c r="AG8" s="11">
        <v>0.0</v>
      </c>
      <c r="AH8" s="11">
        <v>0.0</v>
      </c>
      <c r="AI8" s="11">
        <v>0.0</v>
      </c>
      <c r="AJ8" s="11">
        <v>0.0</v>
      </c>
      <c r="AK8" s="11">
        <v>0.0</v>
      </c>
      <c r="AL8" s="11">
        <v>0.0</v>
      </c>
      <c r="AM8" s="11">
        <v>0.0</v>
      </c>
      <c r="AN8" s="11">
        <v>0.0</v>
      </c>
      <c r="AO8" s="11">
        <v>0.0</v>
      </c>
      <c r="AP8" s="11">
        <v>0.0</v>
      </c>
      <c r="AQ8" s="11">
        <v>0.0</v>
      </c>
      <c r="AR8" s="11">
        <f t="shared" si="2"/>
        <v>1</v>
      </c>
    </row>
    <row r="9">
      <c r="A9" s="4">
        <v>46202.0</v>
      </c>
      <c r="B9" s="5" t="s">
        <v>44</v>
      </c>
      <c r="C9" s="5" t="s">
        <v>45</v>
      </c>
      <c r="D9" s="6" t="s">
        <v>46</v>
      </c>
      <c r="E9" s="5" t="s">
        <v>53</v>
      </c>
      <c r="F9" s="5" t="s">
        <v>48</v>
      </c>
      <c r="G9" s="6" t="s">
        <v>56</v>
      </c>
      <c r="H9" s="5" t="s">
        <v>50</v>
      </c>
      <c r="I9" s="7" t="s">
        <v>51</v>
      </c>
      <c r="J9" s="10">
        <f t="shared" si="1"/>
        <v>100</v>
      </c>
      <c r="K9" s="11">
        <v>0.0</v>
      </c>
      <c r="L9" s="11">
        <v>0.0</v>
      </c>
      <c r="M9" s="11">
        <v>0.0</v>
      </c>
      <c r="N9" s="11">
        <v>0.0</v>
      </c>
      <c r="O9" s="11">
        <v>0.0</v>
      </c>
      <c r="P9" s="11">
        <v>0.0</v>
      </c>
      <c r="Q9" s="11">
        <v>0.0</v>
      </c>
      <c r="R9" s="11">
        <v>0.0</v>
      </c>
      <c r="S9" s="13">
        <v>0.0</v>
      </c>
      <c r="T9" s="11">
        <v>0.0</v>
      </c>
      <c r="U9" s="11">
        <v>0.0</v>
      </c>
      <c r="V9" s="11">
        <v>0.0</v>
      </c>
      <c r="W9" s="11">
        <v>0.0</v>
      </c>
      <c r="X9" s="11">
        <v>0.0</v>
      </c>
      <c r="Y9" s="11">
        <v>0.0</v>
      </c>
      <c r="Z9" s="11">
        <v>0.0</v>
      </c>
      <c r="AA9" s="11">
        <v>0.0</v>
      </c>
      <c r="AB9" s="11">
        <v>0.0</v>
      </c>
      <c r="AC9" s="11">
        <v>0.0</v>
      </c>
      <c r="AD9" s="11">
        <v>0.0</v>
      </c>
      <c r="AE9" s="11">
        <v>0.0</v>
      </c>
      <c r="AF9" s="11">
        <v>30.0</v>
      </c>
      <c r="AG9" s="11">
        <v>25.0</v>
      </c>
      <c r="AH9" s="11">
        <v>25.0</v>
      </c>
      <c r="AI9" s="11">
        <v>20.0</v>
      </c>
      <c r="AJ9" s="11">
        <v>0.0</v>
      </c>
      <c r="AK9" s="11">
        <v>0.0</v>
      </c>
      <c r="AL9" s="11">
        <v>0.0</v>
      </c>
      <c r="AM9" s="11">
        <v>0.0</v>
      </c>
      <c r="AN9" s="11">
        <v>0.0</v>
      </c>
      <c r="AO9" s="11">
        <v>0.0</v>
      </c>
      <c r="AP9" s="11">
        <v>0.0</v>
      </c>
      <c r="AQ9" s="11">
        <v>0.0</v>
      </c>
      <c r="AR9" s="11">
        <f t="shared" si="2"/>
        <v>1</v>
      </c>
    </row>
    <row r="10">
      <c r="A10" s="4">
        <v>46202.0</v>
      </c>
      <c r="B10" s="5" t="s">
        <v>44</v>
      </c>
      <c r="C10" s="5" t="s">
        <v>45</v>
      </c>
      <c r="D10" s="6" t="s">
        <v>46</v>
      </c>
      <c r="E10" s="5" t="s">
        <v>54</v>
      </c>
      <c r="F10" s="5" t="s">
        <v>48</v>
      </c>
      <c r="G10" s="6" t="s">
        <v>56</v>
      </c>
      <c r="H10" s="5" t="s">
        <v>50</v>
      </c>
      <c r="I10" s="7" t="s">
        <v>51</v>
      </c>
      <c r="J10" s="10">
        <f t="shared" si="1"/>
        <v>100</v>
      </c>
      <c r="K10" s="11">
        <v>0.0</v>
      </c>
      <c r="L10" s="11">
        <v>0.0</v>
      </c>
      <c r="M10" s="11">
        <v>0.0</v>
      </c>
      <c r="N10" s="11">
        <v>0.0</v>
      </c>
      <c r="O10" s="11">
        <v>0.0</v>
      </c>
      <c r="P10" s="11">
        <v>0.0</v>
      </c>
      <c r="Q10" s="11">
        <v>0.0</v>
      </c>
      <c r="R10" s="11">
        <v>0.0</v>
      </c>
      <c r="S10" s="13">
        <v>0.0</v>
      </c>
      <c r="T10" s="11">
        <v>0.0</v>
      </c>
      <c r="U10" s="11">
        <v>0.0</v>
      </c>
      <c r="V10" s="11">
        <v>0.0</v>
      </c>
      <c r="W10" s="11">
        <v>0.0</v>
      </c>
      <c r="X10" s="11">
        <v>0.0</v>
      </c>
      <c r="Y10" s="11">
        <v>0.0</v>
      </c>
      <c r="Z10" s="11">
        <v>0.0</v>
      </c>
      <c r="AA10" s="11">
        <v>0.0</v>
      </c>
      <c r="AB10" s="11">
        <v>0.0</v>
      </c>
      <c r="AC10" s="11">
        <v>0.0</v>
      </c>
      <c r="AD10" s="11">
        <v>0.0</v>
      </c>
      <c r="AE10" s="11">
        <v>0.0</v>
      </c>
      <c r="AF10" s="11">
        <v>0.0</v>
      </c>
      <c r="AG10" s="11">
        <v>0.0</v>
      </c>
      <c r="AH10" s="11">
        <v>0.0</v>
      </c>
      <c r="AI10" s="11">
        <v>0.0</v>
      </c>
      <c r="AJ10" s="11">
        <v>25.0</v>
      </c>
      <c r="AK10" s="11">
        <v>25.0</v>
      </c>
      <c r="AL10" s="11">
        <v>25.0</v>
      </c>
      <c r="AM10" s="11">
        <v>25.0</v>
      </c>
      <c r="AN10" s="11">
        <v>0.0</v>
      </c>
      <c r="AO10" s="11">
        <v>0.0</v>
      </c>
      <c r="AP10" s="11">
        <v>0.0</v>
      </c>
      <c r="AQ10" s="11">
        <v>0.0</v>
      </c>
      <c r="AR10" s="11">
        <f t="shared" si="2"/>
        <v>1</v>
      </c>
    </row>
    <row r="11">
      <c r="A11" s="4">
        <v>46202.0</v>
      </c>
      <c r="B11" s="5" t="s">
        <v>44</v>
      </c>
      <c r="C11" s="5" t="s">
        <v>45</v>
      </c>
      <c r="D11" s="6" t="s">
        <v>46</v>
      </c>
      <c r="E11" s="5" t="s">
        <v>55</v>
      </c>
      <c r="F11" s="5" t="s">
        <v>48</v>
      </c>
      <c r="G11" s="6" t="s">
        <v>56</v>
      </c>
      <c r="H11" s="5" t="s">
        <v>50</v>
      </c>
      <c r="I11" s="7" t="s">
        <v>51</v>
      </c>
      <c r="J11" s="10">
        <f t="shared" si="1"/>
        <v>100</v>
      </c>
      <c r="K11" s="11">
        <v>0.0</v>
      </c>
      <c r="L11" s="11">
        <v>0.0</v>
      </c>
      <c r="M11" s="11">
        <v>0.0</v>
      </c>
      <c r="N11" s="11">
        <v>0.0</v>
      </c>
      <c r="O11" s="11">
        <v>0.0</v>
      </c>
      <c r="P11" s="11">
        <v>0.0</v>
      </c>
      <c r="Q11" s="11">
        <v>0.0</v>
      </c>
      <c r="R11" s="11">
        <v>0.0</v>
      </c>
      <c r="S11" s="13">
        <v>0.0</v>
      </c>
      <c r="T11" s="11">
        <v>0.0</v>
      </c>
      <c r="U11" s="11">
        <v>0.0</v>
      </c>
      <c r="V11" s="11">
        <v>0.0</v>
      </c>
      <c r="W11" s="11">
        <v>0.0</v>
      </c>
      <c r="X11" s="11">
        <v>0.0</v>
      </c>
      <c r="Y11" s="11">
        <v>0.0</v>
      </c>
      <c r="Z11" s="11">
        <v>0.0</v>
      </c>
      <c r="AA11" s="11">
        <v>0.0</v>
      </c>
      <c r="AB11" s="11">
        <v>0.0</v>
      </c>
      <c r="AC11" s="11">
        <v>0.0</v>
      </c>
      <c r="AD11" s="11">
        <v>0.0</v>
      </c>
      <c r="AE11" s="11">
        <v>0.0</v>
      </c>
      <c r="AF11" s="11">
        <v>0.0</v>
      </c>
      <c r="AG11" s="11">
        <v>0.0</v>
      </c>
      <c r="AH11" s="11">
        <v>0.0</v>
      </c>
      <c r="AI11" s="11">
        <v>0.0</v>
      </c>
      <c r="AJ11" s="11">
        <v>0.0</v>
      </c>
      <c r="AK11" s="11">
        <v>0.0</v>
      </c>
      <c r="AL11" s="11">
        <v>0.0</v>
      </c>
      <c r="AM11" s="11">
        <v>0.0</v>
      </c>
      <c r="AN11" s="11">
        <v>25.0</v>
      </c>
      <c r="AO11" s="11">
        <v>25.0</v>
      </c>
      <c r="AP11" s="11">
        <v>25.0</v>
      </c>
      <c r="AQ11" s="11">
        <v>25.0</v>
      </c>
      <c r="AR11" s="11">
        <f t="shared" si="2"/>
        <v>1</v>
      </c>
    </row>
    <row r="12">
      <c r="A12" s="4">
        <v>46202.0</v>
      </c>
      <c r="B12" s="5" t="s">
        <v>44</v>
      </c>
      <c r="C12" s="5" t="s">
        <v>45</v>
      </c>
      <c r="D12" s="6" t="s">
        <v>46</v>
      </c>
      <c r="E12" s="5" t="s">
        <v>47</v>
      </c>
      <c r="F12" s="5" t="s">
        <v>48</v>
      </c>
      <c r="G12" s="6" t="s">
        <v>57</v>
      </c>
      <c r="H12" s="5" t="s">
        <v>50</v>
      </c>
      <c r="I12" s="7" t="s">
        <v>51</v>
      </c>
      <c r="J12" s="10">
        <f t="shared" si="1"/>
        <v>100</v>
      </c>
      <c r="K12" s="11">
        <v>10.0</v>
      </c>
      <c r="L12" s="11">
        <v>15.0</v>
      </c>
      <c r="M12" s="11">
        <v>0.0</v>
      </c>
      <c r="N12" s="11">
        <v>15.0</v>
      </c>
      <c r="O12" s="11">
        <v>15.0</v>
      </c>
      <c r="P12" s="11">
        <v>0.0</v>
      </c>
      <c r="Q12" s="11">
        <v>0.0</v>
      </c>
      <c r="R12" s="11">
        <v>0.0</v>
      </c>
      <c r="S12" s="13">
        <v>0.0</v>
      </c>
      <c r="T12" s="13">
        <v>15.0</v>
      </c>
      <c r="U12" s="11">
        <v>10.0</v>
      </c>
      <c r="V12" s="11">
        <v>0.0</v>
      </c>
      <c r="W12" s="11">
        <v>10.0</v>
      </c>
      <c r="X12" s="11">
        <v>0.0</v>
      </c>
      <c r="Y12" s="11">
        <v>10.0</v>
      </c>
      <c r="Z12" s="11">
        <v>0.0</v>
      </c>
      <c r="AA12" s="11">
        <v>0.0</v>
      </c>
      <c r="AB12" s="11">
        <v>0.0</v>
      </c>
      <c r="AC12" s="11">
        <v>0.0</v>
      </c>
      <c r="AD12" s="11">
        <v>0.0</v>
      </c>
      <c r="AE12" s="11">
        <v>0.0</v>
      </c>
      <c r="AF12" s="11">
        <v>0.0</v>
      </c>
      <c r="AG12" s="11">
        <v>0.0</v>
      </c>
      <c r="AH12" s="11">
        <v>0.0</v>
      </c>
      <c r="AI12" s="11">
        <v>0.0</v>
      </c>
      <c r="AJ12" s="11">
        <v>0.0</v>
      </c>
      <c r="AK12" s="11">
        <v>0.0</v>
      </c>
      <c r="AL12" s="11">
        <v>0.0</v>
      </c>
      <c r="AM12" s="11">
        <v>0.0</v>
      </c>
      <c r="AN12" s="11">
        <v>0.0</v>
      </c>
      <c r="AO12" s="11">
        <v>0.0</v>
      </c>
      <c r="AP12" s="11">
        <v>0.0</v>
      </c>
      <c r="AQ12" s="11">
        <v>0.0</v>
      </c>
      <c r="AR12" s="11">
        <f t="shared" si="2"/>
        <v>1</v>
      </c>
    </row>
    <row r="13">
      <c r="A13" s="4">
        <v>46202.0</v>
      </c>
      <c r="B13" s="5" t="s">
        <v>44</v>
      </c>
      <c r="C13" s="5" t="s">
        <v>45</v>
      </c>
      <c r="D13" s="6" t="s">
        <v>46</v>
      </c>
      <c r="E13" s="5" t="s">
        <v>52</v>
      </c>
      <c r="F13" s="5" t="s">
        <v>48</v>
      </c>
      <c r="G13" s="6" t="s">
        <v>57</v>
      </c>
      <c r="H13" s="5" t="s">
        <v>50</v>
      </c>
      <c r="I13" s="7" t="s">
        <v>51</v>
      </c>
      <c r="J13" s="10">
        <f t="shared" si="1"/>
        <v>100</v>
      </c>
      <c r="K13" s="11">
        <v>0.0</v>
      </c>
      <c r="L13" s="11">
        <v>0.0</v>
      </c>
      <c r="M13" s="11">
        <v>0.0</v>
      </c>
      <c r="N13" s="11">
        <v>0.0</v>
      </c>
      <c r="O13" s="11">
        <v>0.0</v>
      </c>
      <c r="P13" s="11">
        <v>0.0</v>
      </c>
      <c r="Q13" s="11">
        <v>0.0</v>
      </c>
      <c r="R13" s="11">
        <v>0.0</v>
      </c>
      <c r="S13" s="13">
        <v>0.0</v>
      </c>
      <c r="T13" s="11">
        <v>0.0</v>
      </c>
      <c r="U13" s="11">
        <v>0.0</v>
      </c>
      <c r="V13" s="11">
        <v>0.0</v>
      </c>
      <c r="W13" s="11">
        <v>0.0</v>
      </c>
      <c r="X13" s="11">
        <v>0.0</v>
      </c>
      <c r="Y13" s="11">
        <v>0.0</v>
      </c>
      <c r="Z13" s="11">
        <v>15.0</v>
      </c>
      <c r="AA13" s="11">
        <v>20.0</v>
      </c>
      <c r="AB13" s="11">
        <v>20.0</v>
      </c>
      <c r="AC13" s="11">
        <v>15.0</v>
      </c>
      <c r="AD13" s="11">
        <v>15.0</v>
      </c>
      <c r="AE13" s="11">
        <v>15.0</v>
      </c>
      <c r="AF13" s="11">
        <v>0.0</v>
      </c>
      <c r="AG13" s="11">
        <v>0.0</v>
      </c>
      <c r="AH13" s="11">
        <v>0.0</v>
      </c>
      <c r="AI13" s="11">
        <v>0.0</v>
      </c>
      <c r="AJ13" s="11">
        <v>0.0</v>
      </c>
      <c r="AK13" s="11">
        <v>0.0</v>
      </c>
      <c r="AL13" s="11">
        <v>0.0</v>
      </c>
      <c r="AM13" s="11">
        <v>0.0</v>
      </c>
      <c r="AN13" s="11">
        <v>0.0</v>
      </c>
      <c r="AO13" s="11">
        <v>0.0</v>
      </c>
      <c r="AP13" s="11">
        <v>0.0</v>
      </c>
      <c r="AQ13" s="11">
        <v>0.0</v>
      </c>
      <c r="AR13" s="11">
        <f t="shared" si="2"/>
        <v>1</v>
      </c>
    </row>
    <row r="14">
      <c r="A14" s="4">
        <v>46202.0</v>
      </c>
      <c r="B14" s="5" t="s">
        <v>44</v>
      </c>
      <c r="C14" s="5" t="s">
        <v>45</v>
      </c>
      <c r="D14" s="6" t="s">
        <v>46</v>
      </c>
      <c r="E14" s="5" t="s">
        <v>53</v>
      </c>
      <c r="F14" s="5" t="s">
        <v>48</v>
      </c>
      <c r="G14" s="6" t="s">
        <v>57</v>
      </c>
      <c r="H14" s="5" t="s">
        <v>50</v>
      </c>
      <c r="I14" s="7" t="s">
        <v>51</v>
      </c>
      <c r="J14" s="10">
        <f t="shared" si="1"/>
        <v>100</v>
      </c>
      <c r="K14" s="11">
        <v>0.0</v>
      </c>
      <c r="L14" s="11">
        <v>0.0</v>
      </c>
      <c r="M14" s="11">
        <v>0.0</v>
      </c>
      <c r="N14" s="11">
        <v>0.0</v>
      </c>
      <c r="O14" s="11">
        <v>0.0</v>
      </c>
      <c r="P14" s="11">
        <v>0.0</v>
      </c>
      <c r="Q14" s="11">
        <v>0.0</v>
      </c>
      <c r="R14" s="11">
        <v>0.0</v>
      </c>
      <c r="S14" s="13">
        <v>0.0</v>
      </c>
      <c r="T14" s="11">
        <v>0.0</v>
      </c>
      <c r="U14" s="11">
        <v>0.0</v>
      </c>
      <c r="V14" s="11">
        <v>0.0</v>
      </c>
      <c r="W14" s="11">
        <v>0.0</v>
      </c>
      <c r="X14" s="11">
        <v>0.0</v>
      </c>
      <c r="Y14" s="11">
        <v>0.0</v>
      </c>
      <c r="Z14" s="11">
        <v>0.0</v>
      </c>
      <c r="AA14" s="11">
        <v>0.0</v>
      </c>
      <c r="AB14" s="11">
        <v>0.0</v>
      </c>
      <c r="AC14" s="11">
        <v>0.0</v>
      </c>
      <c r="AD14" s="11">
        <v>0.0</v>
      </c>
      <c r="AE14" s="11">
        <v>0.0</v>
      </c>
      <c r="AF14" s="11">
        <v>30.0</v>
      </c>
      <c r="AG14" s="11">
        <v>25.0</v>
      </c>
      <c r="AH14" s="11">
        <v>25.0</v>
      </c>
      <c r="AI14" s="11">
        <v>20.0</v>
      </c>
      <c r="AJ14" s="11">
        <v>0.0</v>
      </c>
      <c r="AK14" s="11">
        <v>0.0</v>
      </c>
      <c r="AL14" s="11">
        <v>0.0</v>
      </c>
      <c r="AM14" s="11">
        <v>0.0</v>
      </c>
      <c r="AN14" s="11">
        <v>0.0</v>
      </c>
      <c r="AO14" s="11">
        <v>0.0</v>
      </c>
      <c r="AP14" s="11">
        <v>0.0</v>
      </c>
      <c r="AQ14" s="11">
        <v>0.0</v>
      </c>
      <c r="AR14" s="11">
        <f t="shared" si="2"/>
        <v>1</v>
      </c>
    </row>
    <row r="15">
      <c r="A15" s="4">
        <v>46202.0</v>
      </c>
      <c r="B15" s="5" t="s">
        <v>44</v>
      </c>
      <c r="C15" s="5" t="s">
        <v>45</v>
      </c>
      <c r="D15" s="6" t="s">
        <v>46</v>
      </c>
      <c r="E15" s="5" t="s">
        <v>54</v>
      </c>
      <c r="F15" s="5" t="s">
        <v>48</v>
      </c>
      <c r="G15" s="6" t="s">
        <v>57</v>
      </c>
      <c r="H15" s="5" t="s">
        <v>50</v>
      </c>
      <c r="I15" s="7" t="s">
        <v>51</v>
      </c>
      <c r="J15" s="10">
        <f t="shared" si="1"/>
        <v>100</v>
      </c>
      <c r="K15" s="11">
        <v>0.0</v>
      </c>
      <c r="L15" s="11">
        <v>0.0</v>
      </c>
      <c r="M15" s="11">
        <v>0.0</v>
      </c>
      <c r="N15" s="11">
        <v>0.0</v>
      </c>
      <c r="O15" s="11">
        <v>0.0</v>
      </c>
      <c r="P15" s="11">
        <v>0.0</v>
      </c>
      <c r="Q15" s="11">
        <v>0.0</v>
      </c>
      <c r="R15" s="11">
        <v>0.0</v>
      </c>
      <c r="S15" s="13">
        <v>0.0</v>
      </c>
      <c r="T15" s="11">
        <v>0.0</v>
      </c>
      <c r="U15" s="11">
        <v>0.0</v>
      </c>
      <c r="V15" s="11">
        <v>0.0</v>
      </c>
      <c r="W15" s="11">
        <v>0.0</v>
      </c>
      <c r="X15" s="11">
        <v>0.0</v>
      </c>
      <c r="Y15" s="11">
        <v>0.0</v>
      </c>
      <c r="Z15" s="11">
        <v>0.0</v>
      </c>
      <c r="AA15" s="11">
        <v>0.0</v>
      </c>
      <c r="AB15" s="11">
        <v>0.0</v>
      </c>
      <c r="AC15" s="11">
        <v>0.0</v>
      </c>
      <c r="AD15" s="11">
        <v>0.0</v>
      </c>
      <c r="AE15" s="11">
        <v>0.0</v>
      </c>
      <c r="AF15" s="11">
        <v>0.0</v>
      </c>
      <c r="AG15" s="11">
        <v>0.0</v>
      </c>
      <c r="AH15" s="11">
        <v>0.0</v>
      </c>
      <c r="AI15" s="11">
        <v>0.0</v>
      </c>
      <c r="AJ15" s="11">
        <v>25.0</v>
      </c>
      <c r="AK15" s="11">
        <v>25.0</v>
      </c>
      <c r="AL15" s="11">
        <v>25.0</v>
      </c>
      <c r="AM15" s="11">
        <v>25.0</v>
      </c>
      <c r="AN15" s="11">
        <v>0.0</v>
      </c>
      <c r="AO15" s="11">
        <v>0.0</v>
      </c>
      <c r="AP15" s="11">
        <v>0.0</v>
      </c>
      <c r="AQ15" s="11">
        <v>0.0</v>
      </c>
      <c r="AR15" s="11">
        <f t="shared" si="2"/>
        <v>1</v>
      </c>
    </row>
    <row r="16">
      <c r="A16" s="4">
        <v>46202.0</v>
      </c>
      <c r="B16" s="5" t="s">
        <v>44</v>
      </c>
      <c r="C16" s="5" t="s">
        <v>45</v>
      </c>
      <c r="D16" s="6" t="s">
        <v>46</v>
      </c>
      <c r="E16" s="5" t="s">
        <v>55</v>
      </c>
      <c r="F16" s="5" t="s">
        <v>48</v>
      </c>
      <c r="G16" s="6" t="s">
        <v>57</v>
      </c>
      <c r="H16" s="5" t="s">
        <v>50</v>
      </c>
      <c r="I16" s="7" t="s">
        <v>51</v>
      </c>
      <c r="J16" s="10">
        <f t="shared" si="1"/>
        <v>100</v>
      </c>
      <c r="K16" s="11">
        <v>0.0</v>
      </c>
      <c r="L16" s="11">
        <v>0.0</v>
      </c>
      <c r="M16" s="11">
        <v>0.0</v>
      </c>
      <c r="N16" s="11">
        <v>0.0</v>
      </c>
      <c r="O16" s="11">
        <v>0.0</v>
      </c>
      <c r="P16" s="11">
        <v>0.0</v>
      </c>
      <c r="Q16" s="11">
        <v>0.0</v>
      </c>
      <c r="R16" s="11">
        <v>0.0</v>
      </c>
      <c r="S16" s="13">
        <v>0.0</v>
      </c>
      <c r="T16" s="11">
        <v>0.0</v>
      </c>
      <c r="U16" s="11">
        <v>0.0</v>
      </c>
      <c r="V16" s="11">
        <v>0.0</v>
      </c>
      <c r="W16" s="11">
        <v>0.0</v>
      </c>
      <c r="X16" s="11">
        <v>0.0</v>
      </c>
      <c r="Y16" s="11">
        <v>0.0</v>
      </c>
      <c r="Z16" s="11">
        <v>0.0</v>
      </c>
      <c r="AA16" s="11">
        <v>0.0</v>
      </c>
      <c r="AB16" s="11">
        <v>0.0</v>
      </c>
      <c r="AC16" s="11">
        <v>0.0</v>
      </c>
      <c r="AD16" s="11">
        <v>0.0</v>
      </c>
      <c r="AE16" s="11">
        <v>0.0</v>
      </c>
      <c r="AF16" s="11">
        <v>0.0</v>
      </c>
      <c r="AG16" s="11">
        <v>0.0</v>
      </c>
      <c r="AH16" s="11">
        <v>0.0</v>
      </c>
      <c r="AI16" s="11">
        <v>0.0</v>
      </c>
      <c r="AJ16" s="11">
        <v>0.0</v>
      </c>
      <c r="AK16" s="11">
        <v>0.0</v>
      </c>
      <c r="AL16" s="11">
        <v>0.0</v>
      </c>
      <c r="AM16" s="11">
        <v>0.0</v>
      </c>
      <c r="AN16" s="11">
        <v>25.0</v>
      </c>
      <c r="AO16" s="11">
        <v>25.0</v>
      </c>
      <c r="AP16" s="11">
        <v>25.0</v>
      </c>
      <c r="AQ16" s="11">
        <v>25.0</v>
      </c>
      <c r="AR16" s="11">
        <f t="shared" si="2"/>
        <v>1</v>
      </c>
    </row>
    <row r="17">
      <c r="A17" s="4">
        <v>46202.0</v>
      </c>
      <c r="B17" s="5" t="s">
        <v>44</v>
      </c>
      <c r="C17" s="5" t="s">
        <v>45</v>
      </c>
      <c r="D17" s="6" t="s">
        <v>46</v>
      </c>
      <c r="E17" s="5" t="s">
        <v>47</v>
      </c>
      <c r="F17" s="5" t="s">
        <v>48</v>
      </c>
      <c r="G17" s="6" t="s">
        <v>49</v>
      </c>
      <c r="H17" s="5" t="s">
        <v>50</v>
      </c>
      <c r="I17" s="7" t="s">
        <v>58</v>
      </c>
      <c r="J17" s="10">
        <f t="shared" si="1"/>
        <v>100</v>
      </c>
      <c r="K17" s="11">
        <v>10.0</v>
      </c>
      <c r="L17" s="11">
        <v>15.0</v>
      </c>
      <c r="M17" s="11">
        <v>0.0</v>
      </c>
      <c r="N17" s="11">
        <v>15.0</v>
      </c>
      <c r="O17" s="11">
        <v>15.0</v>
      </c>
      <c r="P17" s="11">
        <v>0.0</v>
      </c>
      <c r="Q17" s="11">
        <v>0.0</v>
      </c>
      <c r="R17" s="11">
        <v>0.0</v>
      </c>
      <c r="S17" s="11">
        <v>1.0</v>
      </c>
      <c r="T17" s="12">
        <v>14.0</v>
      </c>
      <c r="U17" s="11">
        <v>10.0</v>
      </c>
      <c r="V17" s="11">
        <v>0.0</v>
      </c>
      <c r="W17" s="11">
        <v>10.0</v>
      </c>
      <c r="X17" s="11">
        <v>0.0</v>
      </c>
      <c r="Y17" s="11">
        <v>10.0</v>
      </c>
      <c r="Z17" s="11">
        <v>0.0</v>
      </c>
      <c r="AA17" s="11">
        <v>0.0</v>
      </c>
      <c r="AB17" s="11">
        <v>0.0</v>
      </c>
      <c r="AC17" s="11">
        <v>0.0</v>
      </c>
      <c r="AD17" s="11">
        <v>0.0</v>
      </c>
      <c r="AE17" s="11">
        <v>0.0</v>
      </c>
      <c r="AF17" s="11">
        <v>0.0</v>
      </c>
      <c r="AG17" s="11">
        <v>0.0</v>
      </c>
      <c r="AH17" s="11">
        <v>0.0</v>
      </c>
      <c r="AI17" s="11">
        <v>0.0</v>
      </c>
      <c r="AJ17" s="11">
        <v>0.0</v>
      </c>
      <c r="AK17" s="11">
        <v>0.0</v>
      </c>
      <c r="AL17" s="11">
        <v>0.0</v>
      </c>
      <c r="AM17" s="11">
        <v>0.0</v>
      </c>
      <c r="AN17" s="11">
        <v>0.0</v>
      </c>
      <c r="AO17" s="11">
        <v>0.0</v>
      </c>
      <c r="AP17" s="11">
        <v>0.0</v>
      </c>
      <c r="AQ17" s="11">
        <v>0.0</v>
      </c>
      <c r="AR17" s="11">
        <f t="shared" si="2"/>
        <v>1</v>
      </c>
    </row>
    <row r="18">
      <c r="A18" s="4">
        <v>46202.0</v>
      </c>
      <c r="B18" s="5" t="s">
        <v>44</v>
      </c>
      <c r="C18" s="5" t="s">
        <v>45</v>
      </c>
      <c r="D18" s="6" t="s">
        <v>46</v>
      </c>
      <c r="E18" s="5" t="s">
        <v>52</v>
      </c>
      <c r="F18" s="5" t="s">
        <v>48</v>
      </c>
      <c r="G18" s="6" t="s">
        <v>49</v>
      </c>
      <c r="H18" s="5" t="s">
        <v>50</v>
      </c>
      <c r="I18" s="7" t="s">
        <v>58</v>
      </c>
      <c r="J18" s="10">
        <f t="shared" si="1"/>
        <v>100</v>
      </c>
      <c r="K18" s="11">
        <v>0.0</v>
      </c>
      <c r="L18" s="11">
        <v>0.0</v>
      </c>
      <c r="M18" s="11">
        <v>0.0</v>
      </c>
      <c r="N18" s="11">
        <v>0.0</v>
      </c>
      <c r="O18" s="11">
        <v>0.0</v>
      </c>
      <c r="P18" s="11">
        <v>0.0</v>
      </c>
      <c r="Q18" s="11">
        <v>0.0</v>
      </c>
      <c r="R18" s="11">
        <v>0.0</v>
      </c>
      <c r="S18" s="11">
        <v>0.0</v>
      </c>
      <c r="T18" s="11">
        <v>0.0</v>
      </c>
      <c r="U18" s="11">
        <v>0.0</v>
      </c>
      <c r="V18" s="11">
        <v>0.0</v>
      </c>
      <c r="W18" s="11">
        <v>0.0</v>
      </c>
      <c r="X18" s="11">
        <v>0.0</v>
      </c>
      <c r="Y18" s="11">
        <v>0.0</v>
      </c>
      <c r="Z18" s="11">
        <v>15.0</v>
      </c>
      <c r="AA18" s="11">
        <v>20.0</v>
      </c>
      <c r="AB18" s="11">
        <v>20.0</v>
      </c>
      <c r="AC18" s="11">
        <v>15.0</v>
      </c>
      <c r="AD18" s="11">
        <v>15.0</v>
      </c>
      <c r="AE18" s="11">
        <v>15.0</v>
      </c>
      <c r="AF18" s="11">
        <v>0.0</v>
      </c>
      <c r="AG18" s="11">
        <v>0.0</v>
      </c>
      <c r="AH18" s="11">
        <v>0.0</v>
      </c>
      <c r="AI18" s="11">
        <v>0.0</v>
      </c>
      <c r="AJ18" s="11">
        <v>0.0</v>
      </c>
      <c r="AK18" s="11">
        <v>0.0</v>
      </c>
      <c r="AL18" s="11">
        <v>0.0</v>
      </c>
      <c r="AM18" s="11">
        <v>0.0</v>
      </c>
      <c r="AN18" s="11">
        <v>0.0</v>
      </c>
      <c r="AO18" s="11">
        <v>0.0</v>
      </c>
      <c r="AP18" s="11">
        <v>0.0</v>
      </c>
      <c r="AQ18" s="11">
        <v>0.0</v>
      </c>
      <c r="AR18" s="11">
        <f t="shared" si="2"/>
        <v>1</v>
      </c>
    </row>
    <row r="19">
      <c r="A19" s="4">
        <v>46202.0</v>
      </c>
      <c r="B19" s="5" t="s">
        <v>44</v>
      </c>
      <c r="C19" s="5" t="s">
        <v>45</v>
      </c>
      <c r="D19" s="6" t="s">
        <v>46</v>
      </c>
      <c r="E19" s="5" t="s">
        <v>53</v>
      </c>
      <c r="F19" s="5" t="s">
        <v>48</v>
      </c>
      <c r="G19" s="6" t="s">
        <v>49</v>
      </c>
      <c r="H19" s="5" t="s">
        <v>50</v>
      </c>
      <c r="I19" s="7" t="s">
        <v>58</v>
      </c>
      <c r="J19" s="10">
        <f t="shared" si="1"/>
        <v>100</v>
      </c>
      <c r="K19" s="11">
        <v>0.0</v>
      </c>
      <c r="L19" s="11">
        <v>0.0</v>
      </c>
      <c r="M19" s="11">
        <v>0.0</v>
      </c>
      <c r="N19" s="11">
        <v>0.0</v>
      </c>
      <c r="O19" s="11">
        <v>0.0</v>
      </c>
      <c r="P19" s="11">
        <v>0.0</v>
      </c>
      <c r="Q19" s="11">
        <v>0.0</v>
      </c>
      <c r="R19" s="11">
        <v>0.0</v>
      </c>
      <c r="S19" s="11">
        <v>0.0</v>
      </c>
      <c r="T19" s="11">
        <v>0.0</v>
      </c>
      <c r="U19" s="11">
        <v>0.0</v>
      </c>
      <c r="V19" s="11">
        <v>0.0</v>
      </c>
      <c r="W19" s="11">
        <v>0.0</v>
      </c>
      <c r="X19" s="11">
        <v>0.0</v>
      </c>
      <c r="Y19" s="11">
        <v>0.0</v>
      </c>
      <c r="Z19" s="11">
        <v>0.0</v>
      </c>
      <c r="AA19" s="11">
        <v>0.0</v>
      </c>
      <c r="AB19" s="11">
        <v>0.0</v>
      </c>
      <c r="AC19" s="11">
        <v>0.0</v>
      </c>
      <c r="AD19" s="11">
        <v>0.0</v>
      </c>
      <c r="AE19" s="11">
        <v>0.0</v>
      </c>
      <c r="AF19" s="11">
        <v>30.0</v>
      </c>
      <c r="AG19" s="11">
        <v>25.0</v>
      </c>
      <c r="AH19" s="11">
        <v>25.0</v>
      </c>
      <c r="AI19" s="11">
        <v>20.0</v>
      </c>
      <c r="AJ19" s="11">
        <v>0.0</v>
      </c>
      <c r="AK19" s="11">
        <v>0.0</v>
      </c>
      <c r="AL19" s="11">
        <v>0.0</v>
      </c>
      <c r="AM19" s="11">
        <v>0.0</v>
      </c>
      <c r="AN19" s="11">
        <v>0.0</v>
      </c>
      <c r="AO19" s="11">
        <v>0.0</v>
      </c>
      <c r="AP19" s="11">
        <v>0.0</v>
      </c>
      <c r="AQ19" s="11">
        <v>0.0</v>
      </c>
      <c r="AR19" s="11">
        <f t="shared" si="2"/>
        <v>1</v>
      </c>
    </row>
    <row r="20">
      <c r="A20" s="4">
        <v>46202.0</v>
      </c>
      <c r="B20" s="5" t="s">
        <v>44</v>
      </c>
      <c r="C20" s="5" t="s">
        <v>45</v>
      </c>
      <c r="D20" s="6" t="s">
        <v>46</v>
      </c>
      <c r="E20" s="5" t="s">
        <v>54</v>
      </c>
      <c r="F20" s="5" t="s">
        <v>48</v>
      </c>
      <c r="G20" s="6" t="s">
        <v>49</v>
      </c>
      <c r="H20" s="5" t="s">
        <v>50</v>
      </c>
      <c r="I20" s="7" t="s">
        <v>58</v>
      </c>
      <c r="J20" s="10">
        <f t="shared" si="1"/>
        <v>100</v>
      </c>
      <c r="K20" s="11">
        <v>0.0</v>
      </c>
      <c r="L20" s="11">
        <v>0.0</v>
      </c>
      <c r="M20" s="11">
        <v>0.0</v>
      </c>
      <c r="N20" s="11">
        <v>0.0</v>
      </c>
      <c r="O20" s="11">
        <v>0.0</v>
      </c>
      <c r="P20" s="11">
        <v>0.0</v>
      </c>
      <c r="Q20" s="11">
        <v>0.0</v>
      </c>
      <c r="R20" s="11">
        <v>0.0</v>
      </c>
      <c r="S20" s="11">
        <v>0.0</v>
      </c>
      <c r="T20" s="11">
        <v>0.0</v>
      </c>
      <c r="U20" s="11">
        <v>0.0</v>
      </c>
      <c r="V20" s="11">
        <v>0.0</v>
      </c>
      <c r="W20" s="11">
        <v>0.0</v>
      </c>
      <c r="X20" s="11">
        <v>0.0</v>
      </c>
      <c r="Y20" s="11">
        <v>0.0</v>
      </c>
      <c r="Z20" s="11">
        <v>0.0</v>
      </c>
      <c r="AA20" s="11">
        <v>0.0</v>
      </c>
      <c r="AB20" s="11">
        <v>0.0</v>
      </c>
      <c r="AC20" s="11">
        <v>0.0</v>
      </c>
      <c r="AD20" s="11">
        <v>0.0</v>
      </c>
      <c r="AE20" s="11">
        <v>0.0</v>
      </c>
      <c r="AF20" s="11">
        <v>0.0</v>
      </c>
      <c r="AG20" s="11">
        <v>0.0</v>
      </c>
      <c r="AH20" s="11">
        <v>0.0</v>
      </c>
      <c r="AI20" s="11">
        <v>0.0</v>
      </c>
      <c r="AJ20" s="11">
        <v>25.0</v>
      </c>
      <c r="AK20" s="11">
        <v>25.0</v>
      </c>
      <c r="AL20" s="11">
        <v>25.0</v>
      </c>
      <c r="AM20" s="11">
        <v>25.0</v>
      </c>
      <c r="AN20" s="11">
        <v>0.0</v>
      </c>
      <c r="AO20" s="11">
        <v>0.0</v>
      </c>
      <c r="AP20" s="11">
        <v>0.0</v>
      </c>
      <c r="AQ20" s="11">
        <v>0.0</v>
      </c>
      <c r="AR20" s="11">
        <f t="shared" si="2"/>
        <v>1</v>
      </c>
    </row>
    <row r="21">
      <c r="A21" s="4">
        <v>46202.0</v>
      </c>
      <c r="B21" s="5" t="s">
        <v>44</v>
      </c>
      <c r="C21" s="5" t="s">
        <v>45</v>
      </c>
      <c r="D21" s="6" t="s">
        <v>46</v>
      </c>
      <c r="E21" s="5" t="s">
        <v>55</v>
      </c>
      <c r="F21" s="5" t="s">
        <v>48</v>
      </c>
      <c r="G21" s="6" t="s">
        <v>49</v>
      </c>
      <c r="H21" s="5" t="s">
        <v>50</v>
      </c>
      <c r="I21" s="7" t="s">
        <v>58</v>
      </c>
      <c r="J21" s="10">
        <f t="shared" si="1"/>
        <v>100</v>
      </c>
      <c r="K21" s="11">
        <v>0.0</v>
      </c>
      <c r="L21" s="11">
        <v>0.0</v>
      </c>
      <c r="M21" s="11">
        <v>0.0</v>
      </c>
      <c r="N21" s="11">
        <v>0.0</v>
      </c>
      <c r="O21" s="11">
        <v>0.0</v>
      </c>
      <c r="P21" s="11">
        <v>0.0</v>
      </c>
      <c r="Q21" s="11">
        <v>0.0</v>
      </c>
      <c r="R21" s="11">
        <v>0.0</v>
      </c>
      <c r="S21" s="11">
        <v>0.0</v>
      </c>
      <c r="T21" s="11">
        <v>0.0</v>
      </c>
      <c r="U21" s="11">
        <v>0.0</v>
      </c>
      <c r="V21" s="11">
        <v>0.0</v>
      </c>
      <c r="W21" s="11">
        <v>0.0</v>
      </c>
      <c r="X21" s="11">
        <v>0.0</v>
      </c>
      <c r="Y21" s="11">
        <v>0.0</v>
      </c>
      <c r="Z21" s="11">
        <v>0.0</v>
      </c>
      <c r="AA21" s="11">
        <v>0.0</v>
      </c>
      <c r="AB21" s="11">
        <v>0.0</v>
      </c>
      <c r="AC21" s="11">
        <v>0.0</v>
      </c>
      <c r="AD21" s="11">
        <v>0.0</v>
      </c>
      <c r="AE21" s="11">
        <v>0.0</v>
      </c>
      <c r="AF21" s="11">
        <v>0.0</v>
      </c>
      <c r="AG21" s="11">
        <v>0.0</v>
      </c>
      <c r="AH21" s="11">
        <v>0.0</v>
      </c>
      <c r="AI21" s="11">
        <v>0.0</v>
      </c>
      <c r="AJ21" s="11">
        <v>0.0</v>
      </c>
      <c r="AK21" s="11">
        <v>0.0</v>
      </c>
      <c r="AL21" s="11">
        <v>0.0</v>
      </c>
      <c r="AM21" s="11">
        <v>0.0</v>
      </c>
      <c r="AN21" s="11">
        <v>25.0</v>
      </c>
      <c r="AO21" s="11">
        <v>25.0</v>
      </c>
      <c r="AP21" s="11">
        <v>25.0</v>
      </c>
      <c r="AQ21" s="11">
        <v>25.0</v>
      </c>
      <c r="AR21" s="11">
        <f t="shared" si="2"/>
        <v>1</v>
      </c>
    </row>
    <row r="22">
      <c r="A22" s="4">
        <v>46202.0</v>
      </c>
      <c r="B22" s="5" t="s">
        <v>44</v>
      </c>
      <c r="C22" s="5" t="s">
        <v>45</v>
      </c>
      <c r="D22" s="6" t="s">
        <v>46</v>
      </c>
      <c r="E22" s="5" t="s">
        <v>47</v>
      </c>
      <c r="F22" s="5" t="s">
        <v>48</v>
      </c>
      <c r="G22" s="6" t="s">
        <v>56</v>
      </c>
      <c r="H22" s="5" t="s">
        <v>50</v>
      </c>
      <c r="I22" s="7" t="s">
        <v>58</v>
      </c>
      <c r="J22" s="10">
        <f t="shared" si="1"/>
        <v>100</v>
      </c>
      <c r="K22" s="11">
        <v>10.0</v>
      </c>
      <c r="L22" s="11">
        <v>15.0</v>
      </c>
      <c r="M22" s="11">
        <v>0.0</v>
      </c>
      <c r="N22" s="11">
        <v>15.0</v>
      </c>
      <c r="O22" s="11">
        <v>15.0</v>
      </c>
      <c r="P22" s="11">
        <v>0.0</v>
      </c>
      <c r="Q22" s="11">
        <v>0.0</v>
      </c>
      <c r="R22" s="11">
        <v>0.0</v>
      </c>
      <c r="S22" s="13">
        <v>0.0</v>
      </c>
      <c r="T22" s="13">
        <v>15.0</v>
      </c>
      <c r="U22" s="11">
        <v>10.0</v>
      </c>
      <c r="V22" s="11">
        <v>0.0</v>
      </c>
      <c r="W22" s="11">
        <v>10.0</v>
      </c>
      <c r="X22" s="11">
        <v>0.0</v>
      </c>
      <c r="Y22" s="11">
        <v>10.0</v>
      </c>
      <c r="Z22" s="11">
        <v>0.0</v>
      </c>
      <c r="AA22" s="11">
        <v>0.0</v>
      </c>
      <c r="AB22" s="11">
        <v>0.0</v>
      </c>
      <c r="AC22" s="11">
        <v>0.0</v>
      </c>
      <c r="AD22" s="11">
        <v>0.0</v>
      </c>
      <c r="AE22" s="11">
        <v>0.0</v>
      </c>
      <c r="AF22" s="11">
        <v>0.0</v>
      </c>
      <c r="AG22" s="11">
        <v>0.0</v>
      </c>
      <c r="AH22" s="11">
        <v>0.0</v>
      </c>
      <c r="AI22" s="11">
        <v>0.0</v>
      </c>
      <c r="AJ22" s="11">
        <v>0.0</v>
      </c>
      <c r="AK22" s="11">
        <v>0.0</v>
      </c>
      <c r="AL22" s="11">
        <v>0.0</v>
      </c>
      <c r="AM22" s="11">
        <v>0.0</v>
      </c>
      <c r="AN22" s="11">
        <v>0.0</v>
      </c>
      <c r="AO22" s="11">
        <v>0.0</v>
      </c>
      <c r="AP22" s="11">
        <v>0.0</v>
      </c>
      <c r="AQ22" s="11">
        <v>0.0</v>
      </c>
      <c r="AR22" s="11">
        <f t="shared" si="2"/>
        <v>1</v>
      </c>
    </row>
    <row r="23">
      <c r="A23" s="4">
        <v>46202.0</v>
      </c>
      <c r="B23" s="5" t="s">
        <v>44</v>
      </c>
      <c r="C23" s="5" t="s">
        <v>45</v>
      </c>
      <c r="D23" s="6" t="s">
        <v>46</v>
      </c>
      <c r="E23" s="5" t="s">
        <v>52</v>
      </c>
      <c r="F23" s="5" t="s">
        <v>48</v>
      </c>
      <c r="G23" s="6" t="s">
        <v>56</v>
      </c>
      <c r="H23" s="5" t="s">
        <v>50</v>
      </c>
      <c r="I23" s="7" t="s">
        <v>58</v>
      </c>
      <c r="J23" s="10">
        <f t="shared" si="1"/>
        <v>100</v>
      </c>
      <c r="K23" s="11">
        <v>0.0</v>
      </c>
      <c r="L23" s="11">
        <v>0.0</v>
      </c>
      <c r="M23" s="11">
        <v>0.0</v>
      </c>
      <c r="N23" s="11">
        <v>0.0</v>
      </c>
      <c r="O23" s="11">
        <v>0.0</v>
      </c>
      <c r="P23" s="11">
        <v>0.0</v>
      </c>
      <c r="Q23" s="11">
        <v>0.0</v>
      </c>
      <c r="R23" s="11">
        <v>0.0</v>
      </c>
      <c r="S23" s="13">
        <v>0.0</v>
      </c>
      <c r="T23" s="11">
        <v>0.0</v>
      </c>
      <c r="U23" s="11">
        <v>0.0</v>
      </c>
      <c r="V23" s="11">
        <v>0.0</v>
      </c>
      <c r="W23" s="11">
        <v>0.0</v>
      </c>
      <c r="X23" s="11">
        <v>0.0</v>
      </c>
      <c r="Y23" s="11">
        <v>0.0</v>
      </c>
      <c r="Z23" s="11">
        <v>15.0</v>
      </c>
      <c r="AA23" s="11">
        <v>20.0</v>
      </c>
      <c r="AB23" s="11">
        <v>20.0</v>
      </c>
      <c r="AC23" s="11">
        <v>15.0</v>
      </c>
      <c r="AD23" s="11">
        <v>15.0</v>
      </c>
      <c r="AE23" s="11">
        <v>15.0</v>
      </c>
      <c r="AF23" s="11">
        <v>0.0</v>
      </c>
      <c r="AG23" s="11">
        <v>0.0</v>
      </c>
      <c r="AH23" s="11">
        <v>0.0</v>
      </c>
      <c r="AI23" s="11">
        <v>0.0</v>
      </c>
      <c r="AJ23" s="11">
        <v>0.0</v>
      </c>
      <c r="AK23" s="11">
        <v>0.0</v>
      </c>
      <c r="AL23" s="11">
        <v>0.0</v>
      </c>
      <c r="AM23" s="11">
        <v>0.0</v>
      </c>
      <c r="AN23" s="11">
        <v>0.0</v>
      </c>
      <c r="AO23" s="11">
        <v>0.0</v>
      </c>
      <c r="AP23" s="11">
        <v>0.0</v>
      </c>
      <c r="AQ23" s="11">
        <v>0.0</v>
      </c>
      <c r="AR23" s="11">
        <f t="shared" si="2"/>
        <v>1</v>
      </c>
    </row>
    <row r="24">
      <c r="A24" s="4">
        <v>46202.0</v>
      </c>
      <c r="B24" s="5" t="s">
        <v>44</v>
      </c>
      <c r="C24" s="5" t="s">
        <v>45</v>
      </c>
      <c r="D24" s="6" t="s">
        <v>46</v>
      </c>
      <c r="E24" s="5" t="s">
        <v>53</v>
      </c>
      <c r="F24" s="5" t="s">
        <v>48</v>
      </c>
      <c r="G24" s="6" t="s">
        <v>56</v>
      </c>
      <c r="H24" s="5" t="s">
        <v>50</v>
      </c>
      <c r="I24" s="7" t="s">
        <v>58</v>
      </c>
      <c r="J24" s="10">
        <f t="shared" si="1"/>
        <v>100</v>
      </c>
      <c r="K24" s="11">
        <v>0.0</v>
      </c>
      <c r="L24" s="11">
        <v>0.0</v>
      </c>
      <c r="M24" s="11">
        <v>0.0</v>
      </c>
      <c r="N24" s="11">
        <v>0.0</v>
      </c>
      <c r="O24" s="11">
        <v>0.0</v>
      </c>
      <c r="P24" s="11">
        <v>0.0</v>
      </c>
      <c r="Q24" s="11">
        <v>0.0</v>
      </c>
      <c r="R24" s="11">
        <v>0.0</v>
      </c>
      <c r="S24" s="13">
        <v>0.0</v>
      </c>
      <c r="T24" s="11">
        <v>0.0</v>
      </c>
      <c r="U24" s="11">
        <v>0.0</v>
      </c>
      <c r="V24" s="11">
        <v>0.0</v>
      </c>
      <c r="W24" s="11">
        <v>0.0</v>
      </c>
      <c r="X24" s="11">
        <v>0.0</v>
      </c>
      <c r="Y24" s="11">
        <v>0.0</v>
      </c>
      <c r="Z24" s="11">
        <v>0.0</v>
      </c>
      <c r="AA24" s="11">
        <v>0.0</v>
      </c>
      <c r="AB24" s="11">
        <v>0.0</v>
      </c>
      <c r="AC24" s="11">
        <v>0.0</v>
      </c>
      <c r="AD24" s="11">
        <v>0.0</v>
      </c>
      <c r="AE24" s="11">
        <v>0.0</v>
      </c>
      <c r="AF24" s="11">
        <v>30.0</v>
      </c>
      <c r="AG24" s="11">
        <v>25.0</v>
      </c>
      <c r="AH24" s="11">
        <v>25.0</v>
      </c>
      <c r="AI24" s="11">
        <v>20.0</v>
      </c>
      <c r="AJ24" s="11">
        <v>0.0</v>
      </c>
      <c r="AK24" s="11">
        <v>0.0</v>
      </c>
      <c r="AL24" s="11">
        <v>0.0</v>
      </c>
      <c r="AM24" s="11">
        <v>0.0</v>
      </c>
      <c r="AN24" s="11">
        <v>0.0</v>
      </c>
      <c r="AO24" s="11">
        <v>0.0</v>
      </c>
      <c r="AP24" s="11">
        <v>0.0</v>
      </c>
      <c r="AQ24" s="11">
        <v>0.0</v>
      </c>
      <c r="AR24" s="11">
        <f t="shared" si="2"/>
        <v>1</v>
      </c>
    </row>
    <row r="25">
      <c r="A25" s="4">
        <v>46202.0</v>
      </c>
      <c r="B25" s="5" t="s">
        <v>44</v>
      </c>
      <c r="C25" s="5" t="s">
        <v>45</v>
      </c>
      <c r="D25" s="6" t="s">
        <v>46</v>
      </c>
      <c r="E25" s="5" t="s">
        <v>54</v>
      </c>
      <c r="F25" s="5" t="s">
        <v>48</v>
      </c>
      <c r="G25" s="6" t="s">
        <v>56</v>
      </c>
      <c r="H25" s="5" t="s">
        <v>50</v>
      </c>
      <c r="I25" s="7" t="s">
        <v>58</v>
      </c>
      <c r="J25" s="10">
        <f t="shared" si="1"/>
        <v>100</v>
      </c>
      <c r="K25" s="11">
        <v>0.0</v>
      </c>
      <c r="L25" s="11">
        <v>0.0</v>
      </c>
      <c r="M25" s="11">
        <v>0.0</v>
      </c>
      <c r="N25" s="11">
        <v>0.0</v>
      </c>
      <c r="O25" s="11">
        <v>0.0</v>
      </c>
      <c r="P25" s="11">
        <v>0.0</v>
      </c>
      <c r="Q25" s="11">
        <v>0.0</v>
      </c>
      <c r="R25" s="11">
        <v>0.0</v>
      </c>
      <c r="S25" s="13">
        <v>0.0</v>
      </c>
      <c r="T25" s="11">
        <v>0.0</v>
      </c>
      <c r="U25" s="11">
        <v>0.0</v>
      </c>
      <c r="V25" s="11">
        <v>0.0</v>
      </c>
      <c r="W25" s="11">
        <v>0.0</v>
      </c>
      <c r="X25" s="11">
        <v>0.0</v>
      </c>
      <c r="Y25" s="11">
        <v>0.0</v>
      </c>
      <c r="Z25" s="11">
        <v>0.0</v>
      </c>
      <c r="AA25" s="11">
        <v>0.0</v>
      </c>
      <c r="AB25" s="11">
        <v>0.0</v>
      </c>
      <c r="AC25" s="11">
        <v>0.0</v>
      </c>
      <c r="AD25" s="11">
        <v>0.0</v>
      </c>
      <c r="AE25" s="11">
        <v>0.0</v>
      </c>
      <c r="AF25" s="11">
        <v>0.0</v>
      </c>
      <c r="AG25" s="11">
        <v>0.0</v>
      </c>
      <c r="AH25" s="11">
        <v>0.0</v>
      </c>
      <c r="AI25" s="11">
        <v>0.0</v>
      </c>
      <c r="AJ25" s="11">
        <v>25.0</v>
      </c>
      <c r="AK25" s="11">
        <v>25.0</v>
      </c>
      <c r="AL25" s="11">
        <v>25.0</v>
      </c>
      <c r="AM25" s="11">
        <v>25.0</v>
      </c>
      <c r="AN25" s="11">
        <v>0.0</v>
      </c>
      <c r="AO25" s="11">
        <v>0.0</v>
      </c>
      <c r="AP25" s="11">
        <v>0.0</v>
      </c>
      <c r="AQ25" s="11">
        <v>0.0</v>
      </c>
      <c r="AR25" s="11">
        <f t="shared" si="2"/>
        <v>1</v>
      </c>
    </row>
    <row r="26">
      <c r="A26" s="4">
        <v>46202.0</v>
      </c>
      <c r="B26" s="5" t="s">
        <v>44</v>
      </c>
      <c r="C26" s="5" t="s">
        <v>45</v>
      </c>
      <c r="D26" s="6" t="s">
        <v>46</v>
      </c>
      <c r="E26" s="5" t="s">
        <v>55</v>
      </c>
      <c r="F26" s="5" t="s">
        <v>48</v>
      </c>
      <c r="G26" s="6" t="s">
        <v>56</v>
      </c>
      <c r="H26" s="5" t="s">
        <v>50</v>
      </c>
      <c r="I26" s="7" t="s">
        <v>58</v>
      </c>
      <c r="J26" s="10">
        <f t="shared" si="1"/>
        <v>100</v>
      </c>
      <c r="K26" s="11">
        <v>0.0</v>
      </c>
      <c r="L26" s="11">
        <v>0.0</v>
      </c>
      <c r="M26" s="11">
        <v>0.0</v>
      </c>
      <c r="N26" s="11">
        <v>0.0</v>
      </c>
      <c r="O26" s="11">
        <v>0.0</v>
      </c>
      <c r="P26" s="11">
        <v>0.0</v>
      </c>
      <c r="Q26" s="11">
        <v>0.0</v>
      </c>
      <c r="R26" s="11">
        <v>0.0</v>
      </c>
      <c r="S26" s="13">
        <v>0.0</v>
      </c>
      <c r="T26" s="11">
        <v>0.0</v>
      </c>
      <c r="U26" s="11">
        <v>0.0</v>
      </c>
      <c r="V26" s="11">
        <v>0.0</v>
      </c>
      <c r="W26" s="11">
        <v>0.0</v>
      </c>
      <c r="X26" s="11">
        <v>0.0</v>
      </c>
      <c r="Y26" s="11">
        <v>0.0</v>
      </c>
      <c r="Z26" s="11">
        <v>0.0</v>
      </c>
      <c r="AA26" s="11">
        <v>0.0</v>
      </c>
      <c r="AB26" s="11">
        <v>0.0</v>
      </c>
      <c r="AC26" s="11">
        <v>0.0</v>
      </c>
      <c r="AD26" s="11">
        <v>0.0</v>
      </c>
      <c r="AE26" s="11">
        <v>0.0</v>
      </c>
      <c r="AF26" s="11">
        <v>0.0</v>
      </c>
      <c r="AG26" s="11">
        <v>0.0</v>
      </c>
      <c r="AH26" s="11">
        <v>0.0</v>
      </c>
      <c r="AI26" s="11">
        <v>0.0</v>
      </c>
      <c r="AJ26" s="11">
        <v>0.0</v>
      </c>
      <c r="AK26" s="11">
        <v>0.0</v>
      </c>
      <c r="AL26" s="11">
        <v>0.0</v>
      </c>
      <c r="AM26" s="11">
        <v>0.0</v>
      </c>
      <c r="AN26" s="11">
        <v>25.0</v>
      </c>
      <c r="AO26" s="11">
        <v>25.0</v>
      </c>
      <c r="AP26" s="11">
        <v>25.0</v>
      </c>
      <c r="AQ26" s="11">
        <v>25.0</v>
      </c>
      <c r="AR26" s="11">
        <f t="shared" si="2"/>
        <v>1</v>
      </c>
    </row>
    <row r="27">
      <c r="A27" s="4">
        <v>46202.0</v>
      </c>
      <c r="B27" s="5" t="s">
        <v>44</v>
      </c>
      <c r="C27" s="5" t="s">
        <v>45</v>
      </c>
      <c r="D27" s="6" t="s">
        <v>46</v>
      </c>
      <c r="E27" s="5" t="s">
        <v>47</v>
      </c>
      <c r="F27" s="5" t="s">
        <v>48</v>
      </c>
      <c r="G27" s="6" t="s">
        <v>57</v>
      </c>
      <c r="H27" s="5" t="s">
        <v>50</v>
      </c>
      <c r="I27" s="7" t="s">
        <v>58</v>
      </c>
      <c r="J27" s="10">
        <f t="shared" si="1"/>
        <v>100</v>
      </c>
      <c r="K27" s="11">
        <v>10.0</v>
      </c>
      <c r="L27" s="11">
        <v>15.0</v>
      </c>
      <c r="M27" s="11">
        <v>0.0</v>
      </c>
      <c r="N27" s="11">
        <v>15.0</v>
      </c>
      <c r="O27" s="11">
        <v>15.0</v>
      </c>
      <c r="P27" s="11">
        <v>0.0</v>
      </c>
      <c r="Q27" s="11">
        <v>0.0</v>
      </c>
      <c r="R27" s="11">
        <v>0.0</v>
      </c>
      <c r="S27" s="13">
        <v>0.0</v>
      </c>
      <c r="T27" s="13">
        <v>15.0</v>
      </c>
      <c r="U27" s="11">
        <v>10.0</v>
      </c>
      <c r="V27" s="11">
        <v>0.0</v>
      </c>
      <c r="W27" s="11">
        <v>10.0</v>
      </c>
      <c r="X27" s="11">
        <v>0.0</v>
      </c>
      <c r="Y27" s="11">
        <v>10.0</v>
      </c>
      <c r="Z27" s="11">
        <v>0.0</v>
      </c>
      <c r="AA27" s="11">
        <v>0.0</v>
      </c>
      <c r="AB27" s="11">
        <v>0.0</v>
      </c>
      <c r="AC27" s="11">
        <v>0.0</v>
      </c>
      <c r="AD27" s="11">
        <v>0.0</v>
      </c>
      <c r="AE27" s="11">
        <v>0.0</v>
      </c>
      <c r="AF27" s="11">
        <v>0.0</v>
      </c>
      <c r="AG27" s="11">
        <v>0.0</v>
      </c>
      <c r="AH27" s="11">
        <v>0.0</v>
      </c>
      <c r="AI27" s="11">
        <v>0.0</v>
      </c>
      <c r="AJ27" s="11">
        <v>0.0</v>
      </c>
      <c r="AK27" s="11">
        <v>0.0</v>
      </c>
      <c r="AL27" s="11">
        <v>0.0</v>
      </c>
      <c r="AM27" s="11">
        <v>0.0</v>
      </c>
      <c r="AN27" s="11">
        <v>0.0</v>
      </c>
      <c r="AO27" s="11">
        <v>0.0</v>
      </c>
      <c r="AP27" s="11">
        <v>0.0</v>
      </c>
      <c r="AQ27" s="11">
        <v>0.0</v>
      </c>
      <c r="AR27" s="11">
        <f t="shared" si="2"/>
        <v>1</v>
      </c>
    </row>
    <row r="28">
      <c r="A28" s="4">
        <v>46202.0</v>
      </c>
      <c r="B28" s="5" t="s">
        <v>44</v>
      </c>
      <c r="C28" s="5" t="s">
        <v>45</v>
      </c>
      <c r="D28" s="6" t="s">
        <v>46</v>
      </c>
      <c r="E28" s="5" t="s">
        <v>52</v>
      </c>
      <c r="F28" s="5" t="s">
        <v>48</v>
      </c>
      <c r="G28" s="6" t="s">
        <v>57</v>
      </c>
      <c r="H28" s="5" t="s">
        <v>50</v>
      </c>
      <c r="I28" s="7" t="s">
        <v>58</v>
      </c>
      <c r="J28" s="10">
        <f t="shared" si="1"/>
        <v>100</v>
      </c>
      <c r="K28" s="11">
        <v>0.0</v>
      </c>
      <c r="L28" s="11">
        <v>0.0</v>
      </c>
      <c r="M28" s="11">
        <v>0.0</v>
      </c>
      <c r="N28" s="11">
        <v>0.0</v>
      </c>
      <c r="O28" s="11">
        <v>0.0</v>
      </c>
      <c r="P28" s="11">
        <v>0.0</v>
      </c>
      <c r="Q28" s="11">
        <v>0.0</v>
      </c>
      <c r="R28" s="11">
        <v>0.0</v>
      </c>
      <c r="S28" s="13">
        <v>0.0</v>
      </c>
      <c r="T28" s="11">
        <v>0.0</v>
      </c>
      <c r="U28" s="11">
        <v>0.0</v>
      </c>
      <c r="V28" s="11">
        <v>0.0</v>
      </c>
      <c r="W28" s="11">
        <v>0.0</v>
      </c>
      <c r="X28" s="11">
        <v>0.0</v>
      </c>
      <c r="Y28" s="11">
        <v>0.0</v>
      </c>
      <c r="Z28" s="11">
        <v>15.0</v>
      </c>
      <c r="AA28" s="11">
        <v>20.0</v>
      </c>
      <c r="AB28" s="11">
        <v>20.0</v>
      </c>
      <c r="AC28" s="11">
        <v>15.0</v>
      </c>
      <c r="AD28" s="11">
        <v>15.0</v>
      </c>
      <c r="AE28" s="11">
        <v>15.0</v>
      </c>
      <c r="AF28" s="11">
        <v>0.0</v>
      </c>
      <c r="AG28" s="11">
        <v>0.0</v>
      </c>
      <c r="AH28" s="11">
        <v>0.0</v>
      </c>
      <c r="AI28" s="11">
        <v>0.0</v>
      </c>
      <c r="AJ28" s="11">
        <v>0.0</v>
      </c>
      <c r="AK28" s="11">
        <v>0.0</v>
      </c>
      <c r="AL28" s="11">
        <v>0.0</v>
      </c>
      <c r="AM28" s="11">
        <v>0.0</v>
      </c>
      <c r="AN28" s="11">
        <v>0.0</v>
      </c>
      <c r="AO28" s="11">
        <v>0.0</v>
      </c>
      <c r="AP28" s="11">
        <v>0.0</v>
      </c>
      <c r="AQ28" s="11">
        <v>0.0</v>
      </c>
      <c r="AR28" s="11">
        <f t="shared" si="2"/>
        <v>1</v>
      </c>
    </row>
    <row r="29">
      <c r="A29" s="4">
        <v>46202.0</v>
      </c>
      <c r="B29" s="5" t="s">
        <v>44</v>
      </c>
      <c r="C29" s="5" t="s">
        <v>45</v>
      </c>
      <c r="D29" s="6" t="s">
        <v>46</v>
      </c>
      <c r="E29" s="5" t="s">
        <v>53</v>
      </c>
      <c r="F29" s="5" t="s">
        <v>48</v>
      </c>
      <c r="G29" s="6" t="s">
        <v>57</v>
      </c>
      <c r="H29" s="5" t="s">
        <v>50</v>
      </c>
      <c r="I29" s="7" t="s">
        <v>58</v>
      </c>
      <c r="J29" s="10">
        <f t="shared" si="1"/>
        <v>100</v>
      </c>
      <c r="K29" s="11">
        <v>0.0</v>
      </c>
      <c r="L29" s="11">
        <v>0.0</v>
      </c>
      <c r="M29" s="11">
        <v>0.0</v>
      </c>
      <c r="N29" s="11">
        <v>0.0</v>
      </c>
      <c r="O29" s="11">
        <v>0.0</v>
      </c>
      <c r="P29" s="11">
        <v>0.0</v>
      </c>
      <c r="Q29" s="11">
        <v>0.0</v>
      </c>
      <c r="R29" s="11">
        <v>0.0</v>
      </c>
      <c r="S29" s="13">
        <v>0.0</v>
      </c>
      <c r="T29" s="11">
        <v>0.0</v>
      </c>
      <c r="U29" s="11">
        <v>0.0</v>
      </c>
      <c r="V29" s="11">
        <v>0.0</v>
      </c>
      <c r="W29" s="11">
        <v>0.0</v>
      </c>
      <c r="X29" s="11">
        <v>0.0</v>
      </c>
      <c r="Y29" s="11">
        <v>0.0</v>
      </c>
      <c r="Z29" s="11">
        <v>0.0</v>
      </c>
      <c r="AA29" s="11">
        <v>0.0</v>
      </c>
      <c r="AB29" s="11">
        <v>0.0</v>
      </c>
      <c r="AC29" s="11">
        <v>0.0</v>
      </c>
      <c r="AD29" s="11">
        <v>0.0</v>
      </c>
      <c r="AE29" s="11">
        <v>0.0</v>
      </c>
      <c r="AF29" s="11">
        <v>30.0</v>
      </c>
      <c r="AG29" s="11">
        <v>25.0</v>
      </c>
      <c r="AH29" s="11">
        <v>25.0</v>
      </c>
      <c r="AI29" s="11">
        <v>20.0</v>
      </c>
      <c r="AJ29" s="11">
        <v>0.0</v>
      </c>
      <c r="AK29" s="11">
        <v>0.0</v>
      </c>
      <c r="AL29" s="11">
        <v>0.0</v>
      </c>
      <c r="AM29" s="11">
        <v>0.0</v>
      </c>
      <c r="AN29" s="11">
        <v>0.0</v>
      </c>
      <c r="AO29" s="11">
        <v>0.0</v>
      </c>
      <c r="AP29" s="11">
        <v>0.0</v>
      </c>
      <c r="AQ29" s="11">
        <v>0.0</v>
      </c>
      <c r="AR29" s="11">
        <f t="shared" si="2"/>
        <v>1</v>
      </c>
    </row>
    <row r="30">
      <c r="A30" s="4">
        <v>46202.0</v>
      </c>
      <c r="B30" s="5" t="s">
        <v>44</v>
      </c>
      <c r="C30" s="5" t="s">
        <v>45</v>
      </c>
      <c r="D30" s="6" t="s">
        <v>46</v>
      </c>
      <c r="E30" s="5" t="s">
        <v>54</v>
      </c>
      <c r="F30" s="5" t="s">
        <v>48</v>
      </c>
      <c r="G30" s="6" t="s">
        <v>57</v>
      </c>
      <c r="H30" s="5" t="s">
        <v>50</v>
      </c>
      <c r="I30" s="7" t="s">
        <v>58</v>
      </c>
      <c r="J30" s="10">
        <f t="shared" si="1"/>
        <v>100</v>
      </c>
      <c r="K30" s="11">
        <v>0.0</v>
      </c>
      <c r="L30" s="11">
        <v>0.0</v>
      </c>
      <c r="M30" s="11">
        <v>0.0</v>
      </c>
      <c r="N30" s="11">
        <v>0.0</v>
      </c>
      <c r="O30" s="11">
        <v>0.0</v>
      </c>
      <c r="P30" s="11">
        <v>0.0</v>
      </c>
      <c r="Q30" s="11">
        <v>0.0</v>
      </c>
      <c r="R30" s="11">
        <v>0.0</v>
      </c>
      <c r="S30" s="13">
        <v>0.0</v>
      </c>
      <c r="T30" s="11">
        <v>0.0</v>
      </c>
      <c r="U30" s="11">
        <v>0.0</v>
      </c>
      <c r="V30" s="11">
        <v>0.0</v>
      </c>
      <c r="W30" s="11">
        <v>0.0</v>
      </c>
      <c r="X30" s="11">
        <v>0.0</v>
      </c>
      <c r="Y30" s="11">
        <v>0.0</v>
      </c>
      <c r="Z30" s="11">
        <v>0.0</v>
      </c>
      <c r="AA30" s="11">
        <v>0.0</v>
      </c>
      <c r="AB30" s="11">
        <v>0.0</v>
      </c>
      <c r="AC30" s="11">
        <v>0.0</v>
      </c>
      <c r="AD30" s="11">
        <v>0.0</v>
      </c>
      <c r="AE30" s="11">
        <v>0.0</v>
      </c>
      <c r="AF30" s="11">
        <v>0.0</v>
      </c>
      <c r="AG30" s="11">
        <v>0.0</v>
      </c>
      <c r="AH30" s="11">
        <v>0.0</v>
      </c>
      <c r="AI30" s="11">
        <v>0.0</v>
      </c>
      <c r="AJ30" s="11">
        <v>25.0</v>
      </c>
      <c r="AK30" s="11">
        <v>25.0</v>
      </c>
      <c r="AL30" s="11">
        <v>25.0</v>
      </c>
      <c r="AM30" s="11">
        <v>25.0</v>
      </c>
      <c r="AN30" s="11">
        <v>0.0</v>
      </c>
      <c r="AO30" s="11">
        <v>0.0</v>
      </c>
      <c r="AP30" s="11">
        <v>0.0</v>
      </c>
      <c r="AQ30" s="11">
        <v>0.0</v>
      </c>
      <c r="AR30" s="11">
        <f t="shared" si="2"/>
        <v>1</v>
      </c>
    </row>
    <row r="31">
      <c r="A31" s="4">
        <v>46202.0</v>
      </c>
      <c r="B31" s="5" t="s">
        <v>44</v>
      </c>
      <c r="C31" s="5" t="s">
        <v>45</v>
      </c>
      <c r="D31" s="6" t="s">
        <v>46</v>
      </c>
      <c r="E31" s="5" t="s">
        <v>55</v>
      </c>
      <c r="F31" s="5" t="s">
        <v>48</v>
      </c>
      <c r="G31" s="6" t="s">
        <v>57</v>
      </c>
      <c r="H31" s="5" t="s">
        <v>50</v>
      </c>
      <c r="I31" s="7" t="s">
        <v>58</v>
      </c>
      <c r="J31" s="10">
        <f t="shared" si="1"/>
        <v>100</v>
      </c>
      <c r="K31" s="11">
        <v>0.0</v>
      </c>
      <c r="L31" s="11">
        <v>0.0</v>
      </c>
      <c r="M31" s="11">
        <v>0.0</v>
      </c>
      <c r="N31" s="11">
        <v>0.0</v>
      </c>
      <c r="O31" s="11">
        <v>0.0</v>
      </c>
      <c r="P31" s="11">
        <v>0.0</v>
      </c>
      <c r="Q31" s="11">
        <v>0.0</v>
      </c>
      <c r="R31" s="11">
        <v>0.0</v>
      </c>
      <c r="S31" s="13">
        <v>0.0</v>
      </c>
      <c r="T31" s="11">
        <v>0.0</v>
      </c>
      <c r="U31" s="11">
        <v>0.0</v>
      </c>
      <c r="V31" s="11">
        <v>0.0</v>
      </c>
      <c r="W31" s="11">
        <v>0.0</v>
      </c>
      <c r="X31" s="11">
        <v>0.0</v>
      </c>
      <c r="Y31" s="11">
        <v>0.0</v>
      </c>
      <c r="Z31" s="11">
        <v>0.0</v>
      </c>
      <c r="AA31" s="11">
        <v>0.0</v>
      </c>
      <c r="AB31" s="11">
        <v>0.0</v>
      </c>
      <c r="AC31" s="11">
        <v>0.0</v>
      </c>
      <c r="AD31" s="11">
        <v>0.0</v>
      </c>
      <c r="AE31" s="11">
        <v>0.0</v>
      </c>
      <c r="AF31" s="11">
        <v>0.0</v>
      </c>
      <c r="AG31" s="11">
        <v>0.0</v>
      </c>
      <c r="AH31" s="11">
        <v>0.0</v>
      </c>
      <c r="AI31" s="11">
        <v>0.0</v>
      </c>
      <c r="AJ31" s="11">
        <v>0.0</v>
      </c>
      <c r="AK31" s="11">
        <v>0.0</v>
      </c>
      <c r="AL31" s="11">
        <v>0.0</v>
      </c>
      <c r="AM31" s="11">
        <v>0.0</v>
      </c>
      <c r="AN31" s="11">
        <v>25.0</v>
      </c>
      <c r="AO31" s="11">
        <v>25.0</v>
      </c>
      <c r="AP31" s="11">
        <v>25.0</v>
      </c>
      <c r="AQ31" s="11">
        <v>25.0</v>
      </c>
      <c r="AR31" s="11">
        <f t="shared" si="2"/>
        <v>1</v>
      </c>
    </row>
  </sheetData>
  <autoFilter ref="$A$1:$AR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403163.0</v>
      </c>
      <c r="B1" s="8" t="str">
        <f>VLOOKUP(A1,'mid_split_Annual Sub Sale'!F:F,1,0)</f>
        <v>#N/A</v>
      </c>
    </row>
    <row r="2" hidden="1">
      <c r="A2" s="9">
        <v>440393.0</v>
      </c>
      <c r="B2" s="8" t="str">
        <f>VLOOKUP(A2,'mid_split_Annual Sub Sale'!F:F,1,0)</f>
        <v>#N/A</v>
      </c>
    </row>
    <row r="3" hidden="1">
      <c r="A3" s="9">
        <v>423223.0</v>
      </c>
      <c r="B3" s="8" t="str">
        <f>VLOOKUP(A3,'mid_split_Annual Sub Sale'!F:F,1,0)</f>
        <v>#N/A</v>
      </c>
    </row>
    <row r="4" hidden="1">
      <c r="A4" s="9">
        <v>447227.0</v>
      </c>
      <c r="B4" s="8" t="str">
        <f>VLOOKUP(A4,'mid_split_Annual Sub Sale'!F:F,1,0)</f>
        <v>#N/A</v>
      </c>
    </row>
    <row r="5" hidden="1">
      <c r="A5" s="9">
        <v>453600.0</v>
      </c>
      <c r="B5" s="8" t="str">
        <f>VLOOKUP(A5,'mid_split_Annual Sub Sale'!F:F,1,0)</f>
        <v>#N/A</v>
      </c>
    </row>
    <row r="6" hidden="1">
      <c r="A6" s="9">
        <v>400895.0</v>
      </c>
      <c r="B6" s="8" t="str">
        <f>VLOOKUP(A6,'mid_split_Annual Sub Sale'!F:F,1,0)</f>
        <v>#N/A</v>
      </c>
    </row>
    <row r="7" hidden="1">
      <c r="A7" s="9">
        <v>498503.0</v>
      </c>
      <c r="B7" s="8" t="str">
        <f>VLOOKUP(A7,'mid_split_Annual Sub Sale'!F:F,1,0)</f>
        <v>#N/A</v>
      </c>
    </row>
    <row r="8" hidden="1">
      <c r="A8" s="9">
        <v>423953.0</v>
      </c>
      <c r="B8" s="8" t="str">
        <f>VLOOKUP(A8,'mid_split_Annual Sub Sale'!F:F,1,0)</f>
        <v>#N/A</v>
      </c>
    </row>
    <row r="9">
      <c r="A9" s="9">
        <v>483205.0</v>
      </c>
      <c r="B9" s="8" t="str">
        <f>VLOOKUP(A9,'mid_split_Annual Sub Sale'!F:F,1,0)</f>
        <v>#N/A</v>
      </c>
    </row>
    <row r="10">
      <c r="A10" s="9">
        <v>416598.0</v>
      </c>
      <c r="B10" s="8" t="str">
        <f>VLOOKUP(A10,'mid_split_Annual Sub Sale'!F:F,1,0)</f>
        <v>#N/A</v>
      </c>
    </row>
    <row r="11" hidden="1">
      <c r="A11" s="9">
        <v>402360.0</v>
      </c>
      <c r="B11" s="8" t="str">
        <f>VLOOKUP(A11,'mid_split_Annual Sub Sale'!F:F,1,0)</f>
        <v>#N/A</v>
      </c>
    </row>
    <row r="12" hidden="1">
      <c r="A12" s="9">
        <v>431940.0</v>
      </c>
      <c r="B12" s="8" t="str">
        <f>VLOOKUP(A12,'mid_split_Annual Sub Sale'!F:F,1,0)</f>
        <v>#N/A</v>
      </c>
    </row>
    <row r="13" hidden="1">
      <c r="A13" s="9">
        <v>486208.0</v>
      </c>
      <c r="B13" s="8" t="str">
        <f>VLOOKUP(A13,'mid_split_Annual Sub Sale'!F:F,1,0)</f>
        <v>#N/A</v>
      </c>
    </row>
    <row r="14" hidden="1">
      <c r="A14" s="9">
        <v>421783.0</v>
      </c>
      <c r="B14" s="8" t="str">
        <f>VLOOKUP(A14,'mid_split_Annual Sub Sale'!F:F,1,0)</f>
        <v>#N/A</v>
      </c>
    </row>
    <row r="15" hidden="1">
      <c r="A15" s="9">
        <v>433477.0</v>
      </c>
      <c r="B15" s="8" t="str">
        <f>VLOOKUP(A15,'mid_split_Annual Sub Sale'!F:F,1,0)</f>
        <v>#N/A</v>
      </c>
    </row>
    <row r="16" hidden="1">
      <c r="A16" s="9">
        <v>483741.0</v>
      </c>
      <c r="B16" s="8" t="str">
        <f>VLOOKUP(A16,'mid_split_Annual Sub Sale'!F:F,1,0)</f>
        <v>#N/A</v>
      </c>
    </row>
    <row r="17" hidden="1">
      <c r="A17" s="9">
        <v>465992.0</v>
      </c>
      <c r="B17" s="8" t="str">
        <f>VLOOKUP(A17,'mid_split_Annual Sub Sale'!F:F,1,0)</f>
        <v>#N/A</v>
      </c>
    </row>
    <row r="18" hidden="1">
      <c r="A18" s="9">
        <v>465944.0</v>
      </c>
      <c r="B18" s="8" t="str">
        <f>VLOOKUP(A18,'mid_split_Annual Sub Sale'!F:F,1,0)</f>
        <v>#N/A</v>
      </c>
    </row>
    <row r="19" hidden="1">
      <c r="A19" s="9">
        <v>482821.0</v>
      </c>
      <c r="B19" s="8" t="str">
        <f>VLOOKUP(A19,'mid_split_Annual Sub Sale'!F:F,1,0)</f>
        <v>#N/A</v>
      </c>
    </row>
    <row r="20" hidden="1">
      <c r="A20" s="9">
        <v>482812.0</v>
      </c>
      <c r="B20" s="8" t="str">
        <f>VLOOKUP(A20,'mid_split_Annual Sub Sale'!F:F,1,0)</f>
        <v>#N/A</v>
      </c>
    </row>
    <row r="21" hidden="1">
      <c r="A21" s="9">
        <v>498824.0</v>
      </c>
      <c r="B21" s="8" t="str">
        <f>VLOOKUP(A21,'mid_split_Annual Sub Sale'!F:F,1,0)</f>
        <v>#N/A</v>
      </c>
    </row>
    <row r="22" hidden="1">
      <c r="A22" s="9">
        <v>476970.0</v>
      </c>
      <c r="B22" s="8" t="str">
        <f>VLOOKUP(A22,'mid_split_Annual Sub Sale'!F:F,1,0)</f>
        <v>#N/A</v>
      </c>
    </row>
    <row r="23" hidden="1">
      <c r="A23" s="9">
        <v>486007.0</v>
      </c>
      <c r="B23" s="8" t="str">
        <f>VLOOKUP(A23,'mid_split_Annual Sub Sale'!F:F,1,0)</f>
        <v>#N/A</v>
      </c>
    </row>
    <row r="24" hidden="1">
      <c r="A24" s="9">
        <v>447914.0</v>
      </c>
      <c r="B24" s="8" t="str">
        <f>VLOOKUP(A24,'mid_split_Annual Sub Sale'!F:F,1,0)</f>
        <v>#N/A</v>
      </c>
    </row>
    <row r="25" hidden="1">
      <c r="A25" s="9">
        <v>446613.0</v>
      </c>
      <c r="B25" s="8" t="str">
        <f>VLOOKUP(A25,'mid_split_Annual Sub Sale'!F:F,1,0)</f>
        <v>#N/A</v>
      </c>
    </row>
    <row r="26" hidden="1">
      <c r="A26" s="9">
        <v>443445.0</v>
      </c>
      <c r="B26" s="8" t="str">
        <f>VLOOKUP(A26,'mid_split_Annual Sub Sale'!F:F,1,0)</f>
        <v>#N/A</v>
      </c>
    </row>
    <row r="27" hidden="1">
      <c r="A27" s="9">
        <v>434968.0</v>
      </c>
      <c r="B27" s="8" t="str">
        <f>VLOOKUP(A27,'mid_split_Annual Sub Sale'!F:F,1,0)</f>
        <v>#N/A</v>
      </c>
    </row>
    <row r="28">
      <c r="A28" s="9">
        <v>410651.0</v>
      </c>
      <c r="B28" s="8" t="str">
        <f>VLOOKUP(A28,'mid_split_Annual Sub Sale'!F:F,1,0)</f>
        <v>#N/A</v>
      </c>
    </row>
    <row r="29" hidden="1">
      <c r="A29" s="9">
        <v>454617.0</v>
      </c>
      <c r="B29" s="8" t="str">
        <f>VLOOKUP(A29,'mid_split_Annual Sub Sale'!F:F,1,0)</f>
        <v>#N/A</v>
      </c>
    </row>
    <row r="30" hidden="1">
      <c r="A30" s="9">
        <v>481915.0</v>
      </c>
      <c r="B30" s="8" t="str">
        <f>VLOOKUP(A30,'mid_split_Annual Sub Sale'!F:F,1,0)</f>
        <v>#N/A</v>
      </c>
    </row>
    <row r="31" hidden="1">
      <c r="A31" s="9">
        <v>452471.0</v>
      </c>
      <c r="B31" s="8" t="str">
        <f>VLOOKUP(A31,'mid_split_Annual Sub Sale'!F:F,1,0)</f>
        <v>#N/A</v>
      </c>
    </row>
    <row r="32" hidden="1">
      <c r="A32" s="9">
        <v>441840.0</v>
      </c>
      <c r="B32" s="8" t="str">
        <f>VLOOKUP(A32,'mid_split_Annual Sub Sale'!F:F,1,0)</f>
        <v>#N/A</v>
      </c>
    </row>
    <row r="33" hidden="1">
      <c r="A33" s="9">
        <v>487104.0</v>
      </c>
      <c r="B33" s="8" t="str">
        <f>VLOOKUP(A33,'mid_split_Annual Sub Sale'!F:F,1,0)</f>
        <v>#N/A</v>
      </c>
    </row>
    <row r="34" hidden="1">
      <c r="A34" s="9">
        <v>487917.0</v>
      </c>
      <c r="B34" s="8" t="str">
        <f>VLOOKUP(A34,'mid_split_Annual Sub Sale'!F:F,1,0)</f>
        <v>#N/A</v>
      </c>
    </row>
    <row r="35" hidden="1">
      <c r="A35" s="9">
        <v>454793.0</v>
      </c>
      <c r="B35" s="8" t="str">
        <f>VLOOKUP(A35,'mid_split_Annual Sub Sale'!F:F,1,0)</f>
        <v>#N/A</v>
      </c>
    </row>
    <row r="36">
      <c r="A36" s="9">
        <v>483208.0</v>
      </c>
      <c r="B36" s="8" t="str">
        <f>VLOOKUP(A36,'mid_split_Annual Sub Sale'!F:F,1,0)</f>
        <v>#N/A</v>
      </c>
    </row>
    <row r="37" hidden="1">
      <c r="A37" s="9">
        <v>433747.0</v>
      </c>
      <c r="B37" s="8" t="str">
        <f>VLOOKUP(A37,'mid_split_Annual Sub Sale'!F:F,1,0)</f>
        <v>#N/A</v>
      </c>
    </row>
    <row r="38" hidden="1">
      <c r="A38" s="9">
        <v>441839.0</v>
      </c>
      <c r="B38" s="8" t="str">
        <f>VLOOKUP(A38,'mid_split_Annual Sub Sale'!F:F,1,0)</f>
        <v>#N/A</v>
      </c>
    </row>
    <row r="39">
      <c r="A39" s="9">
        <v>497490.0</v>
      </c>
      <c r="B39" s="8" t="str">
        <f>VLOOKUP(A39,'mid_split_Annual Sub Sale'!F:F,1,0)</f>
        <v>#N/A</v>
      </c>
    </row>
    <row r="40" hidden="1">
      <c r="A40" s="9">
        <v>478424.0</v>
      </c>
      <c r="B40" s="8" t="str">
        <f>VLOOKUP(A40,'mid_split_Annual Sub Sale'!F:F,1,0)</f>
        <v>#N/A</v>
      </c>
    </row>
    <row r="41" hidden="1">
      <c r="A41" s="9">
        <v>423954.0</v>
      </c>
      <c r="B41" s="8" t="str">
        <f>VLOOKUP(A41,'mid_split_Annual Sub Sale'!F:F,1,0)</f>
        <v>#N/A</v>
      </c>
    </row>
    <row r="42">
      <c r="A42" s="9">
        <v>453997.0</v>
      </c>
      <c r="B42" s="8" t="str">
        <f>VLOOKUP(A42,'mid_split_Annual Sub Sale'!F:F,1,0)</f>
        <v>#N/A</v>
      </c>
    </row>
    <row r="43">
      <c r="A43" s="9">
        <v>477124.0</v>
      </c>
      <c r="B43" s="8" t="str">
        <f>VLOOKUP(A43,'mid_split_Annual Sub Sale'!F:F,1,0)</f>
        <v>#N/A</v>
      </c>
    </row>
    <row r="44" hidden="1">
      <c r="A44" s="9">
        <v>428418.0</v>
      </c>
      <c r="B44" s="8" t="str">
        <f>VLOOKUP(A44,'mid_split_Annual Sub Sale'!F:F,1,0)</f>
        <v>#N/A</v>
      </c>
    </row>
    <row r="45" hidden="1">
      <c r="A45" s="9">
        <v>464200.0</v>
      </c>
      <c r="B45" s="8" t="str">
        <f>VLOOKUP(A45,'mid_split_Annual Sub Sale'!F:F,1,0)</f>
        <v>#N/A</v>
      </c>
    </row>
    <row r="46" hidden="1">
      <c r="A46" s="9">
        <v>448261.0</v>
      </c>
      <c r="B46" s="8" t="str">
        <f>VLOOKUP(A46,'mid_split_Annual Sub Sale'!F:F,1,0)</f>
        <v>#N/A</v>
      </c>
    </row>
    <row r="47" hidden="1">
      <c r="A47" s="9">
        <v>427088.0</v>
      </c>
      <c r="B47" s="8" t="str">
        <f>VLOOKUP(A47,'mid_split_Annual Sub Sale'!F:F,1,0)</f>
        <v>#N/A</v>
      </c>
    </row>
    <row r="48" hidden="1">
      <c r="A48" s="9">
        <v>432368.0</v>
      </c>
      <c r="B48" s="8" t="str">
        <f>VLOOKUP(A48,'mid_split_Annual Sub Sale'!F:F,1,0)</f>
        <v>#N/A</v>
      </c>
    </row>
    <row r="49">
      <c r="A49" s="9">
        <v>451474.0</v>
      </c>
      <c r="B49" s="8" t="str">
        <f>VLOOKUP(A49,'mid_split_Annual Sub Sale'!F:F,1,0)</f>
        <v>#N/A</v>
      </c>
    </row>
    <row r="50" hidden="1">
      <c r="A50" s="9">
        <v>463526.0</v>
      </c>
      <c r="B50" s="8" t="str">
        <f>VLOOKUP(A50,'mid_split_Annual Sub Sale'!F:F,1,0)</f>
        <v>#N/A</v>
      </c>
    </row>
    <row r="51" hidden="1">
      <c r="A51" s="9">
        <v>456354.0</v>
      </c>
      <c r="B51" s="8" t="str">
        <f>VLOOKUP(A51,'mid_split_Annual Sub Sale'!F:F,1,0)</f>
        <v>#N/A</v>
      </c>
    </row>
    <row r="52" hidden="1">
      <c r="A52" s="9">
        <v>469451.0</v>
      </c>
      <c r="B52" s="8" t="str">
        <f>VLOOKUP(A52,'mid_split_Annual Sub Sale'!F:F,1,0)</f>
        <v>#N/A</v>
      </c>
    </row>
    <row r="53">
      <c r="A53" s="9">
        <v>478357.0</v>
      </c>
      <c r="B53" s="8" t="str">
        <f>VLOOKUP(A53,'mid_split_Annual Sub Sale'!F:F,1,0)</f>
        <v>#N/A</v>
      </c>
    </row>
    <row r="54" hidden="1">
      <c r="A54" s="9">
        <v>449210.0</v>
      </c>
      <c r="B54" s="8" t="str">
        <f>VLOOKUP(A54,'mid_split_Annual Sub Sale'!F:F,1,0)</f>
        <v>#N/A</v>
      </c>
    </row>
    <row r="55" hidden="1">
      <c r="A55" s="9">
        <v>465950.0</v>
      </c>
      <c r="B55" s="8" t="str">
        <f>VLOOKUP(A55,'mid_split_Annual Sub Sale'!F:F,1,0)</f>
        <v>#N/A</v>
      </c>
    </row>
    <row r="56" hidden="1">
      <c r="A56" s="9">
        <v>473310.0</v>
      </c>
      <c r="B56" s="8" t="str">
        <f>VLOOKUP(A56,'mid_split_Annual Sub Sale'!F:F,1,0)</f>
        <v>#N/A</v>
      </c>
    </row>
    <row r="57" hidden="1">
      <c r="A57" s="9">
        <v>449465.0</v>
      </c>
      <c r="B57" s="8" t="str">
        <f>VLOOKUP(A57,'mid_split_Annual Sub Sale'!F:F,1,0)</f>
        <v>#N/A</v>
      </c>
    </row>
    <row r="58">
      <c r="A58" s="9">
        <v>481885.0</v>
      </c>
      <c r="B58" s="8" t="str">
        <f>VLOOKUP(A58,'mid_split_Annual Sub Sale'!F:F,1,0)</f>
        <v>#N/A</v>
      </c>
    </row>
    <row r="59" hidden="1">
      <c r="A59" s="9">
        <v>443048.0</v>
      </c>
      <c r="B59" s="8" t="str">
        <f>VLOOKUP(A59,'mid_split_Annual Sub Sale'!F:F,1,0)</f>
        <v>#N/A</v>
      </c>
    </row>
    <row r="60" hidden="1">
      <c r="A60" s="9">
        <v>466189.0</v>
      </c>
      <c r="B60" s="8" t="str">
        <f>VLOOKUP(A60,'mid_split_Annual Sub Sale'!F:F,1,0)</f>
        <v>#N/A</v>
      </c>
    </row>
    <row r="61" hidden="1">
      <c r="A61" s="9">
        <v>483480.0</v>
      </c>
      <c r="B61" s="8" t="str">
        <f>VLOOKUP(A61,'mid_split_Annual Sub Sale'!F:F,1,0)</f>
        <v>#N/A</v>
      </c>
    </row>
    <row r="62" hidden="1">
      <c r="A62" s="9">
        <v>443446.0</v>
      </c>
      <c r="B62" s="8" t="str">
        <f>VLOOKUP(A62,'mid_split_Annual Sub Sale'!F:F,1,0)</f>
        <v>#N/A</v>
      </c>
    </row>
    <row r="63" hidden="1">
      <c r="A63" s="9">
        <v>420361.0</v>
      </c>
      <c r="B63" s="8" t="str">
        <f>VLOOKUP(A63,'mid_split_Annual Sub Sale'!F:F,1,0)</f>
        <v>#N/A</v>
      </c>
    </row>
    <row r="64">
      <c r="A64" s="9">
        <v>497202.0</v>
      </c>
      <c r="B64" s="8" t="str">
        <f>VLOOKUP(A64,'mid_split_Annual Sub Sale'!F:F,1,0)</f>
        <v>#N/A</v>
      </c>
    </row>
    <row r="65" hidden="1">
      <c r="A65" s="9">
        <v>464461.0</v>
      </c>
      <c r="B65" s="8" t="str">
        <f>VLOOKUP(A65,'mid_split_Annual Sub Sale'!F:F,1,0)</f>
        <v>#N/A</v>
      </c>
    </row>
    <row r="66" hidden="1">
      <c r="A66" s="9">
        <v>403623.0</v>
      </c>
      <c r="B66" s="8" t="str">
        <f>VLOOKUP(A66,'mid_split_Annual Sub Sale'!F:F,1,0)</f>
        <v>#N/A</v>
      </c>
    </row>
    <row r="67" hidden="1">
      <c r="A67" s="9">
        <v>403905.0</v>
      </c>
      <c r="B67" s="8" t="str">
        <f>VLOOKUP(A67,'mid_split_Annual Sub Sale'!F:F,1,0)</f>
        <v>#N/A</v>
      </c>
    </row>
    <row r="68" hidden="1">
      <c r="A68" s="9">
        <v>443589.0</v>
      </c>
      <c r="B68" s="8" t="str">
        <f>VLOOKUP(A68,'mid_split_Annual Sub Sale'!F:F,1,0)</f>
        <v>#N/A</v>
      </c>
    </row>
    <row r="69" hidden="1">
      <c r="A69" s="9">
        <v>422174.0</v>
      </c>
      <c r="B69" s="8" t="str">
        <f>VLOOKUP(A69,'mid_split_Annual Sub Sale'!F:F,1,0)</f>
        <v>#N/A</v>
      </c>
    </row>
    <row r="70">
      <c r="A70" s="9">
        <v>481897.0</v>
      </c>
      <c r="B70" s="8" t="str">
        <f>VLOOKUP(A70,'mid_split_Annual Sub Sale'!F:F,1,0)</f>
        <v>#N/A</v>
      </c>
    </row>
    <row r="71">
      <c r="A71" s="9">
        <v>465266.0</v>
      </c>
      <c r="B71" s="8" t="str">
        <f>VLOOKUP(A71,'mid_split_Annual Sub Sale'!F:F,1,0)</f>
        <v>#N/A</v>
      </c>
    </row>
    <row r="72" hidden="1">
      <c r="A72" s="9">
        <v>475833.0</v>
      </c>
      <c r="B72" s="8" t="str">
        <f>VLOOKUP(A72,'mid_split_Annual Sub Sale'!F:F,1,0)</f>
        <v>#N/A</v>
      </c>
    </row>
    <row r="73">
      <c r="A73" s="9">
        <v>497301.0</v>
      </c>
      <c r="B73" s="8" t="str">
        <f>VLOOKUP(A73,'mid_split_Annual Sub Sale'!F:F,1,0)</f>
        <v>#N/A</v>
      </c>
    </row>
    <row r="74">
      <c r="A74" s="9">
        <v>490638.0</v>
      </c>
      <c r="B74" s="8" t="str">
        <f>VLOOKUP(A74,'mid_split_Annual Sub Sale'!F:F,1,0)</f>
        <v>#N/A</v>
      </c>
    </row>
    <row r="75">
      <c r="A75" s="9">
        <v>456933.0</v>
      </c>
      <c r="B75" s="8" t="str">
        <f>VLOOKUP(A75,'mid_split_Annual Sub Sale'!F:F,1,0)</f>
        <v>#N/A</v>
      </c>
    </row>
    <row r="76">
      <c r="A76" s="9">
        <v>445256.0</v>
      </c>
      <c r="B76" s="8" t="str">
        <f>VLOOKUP(A76,'mid_split_Annual Sub Sale'!F:F,1,0)</f>
        <v>#N/A</v>
      </c>
    </row>
    <row r="77" hidden="1">
      <c r="A77" s="9">
        <v>420064.0</v>
      </c>
      <c r="B77" s="8" t="str">
        <f>VLOOKUP(A77,'mid_split_Annual Sub Sale'!F:F,1,0)</f>
        <v>#N/A</v>
      </c>
    </row>
    <row r="78">
      <c r="A78" s="9">
        <v>411870.0</v>
      </c>
      <c r="B78" s="8" t="str">
        <f>VLOOKUP(A78,'mid_split_Annual Sub Sale'!F:F,1,0)</f>
        <v>#N/A</v>
      </c>
    </row>
    <row r="79">
      <c r="A79" s="9">
        <v>475117.0</v>
      </c>
      <c r="B79" s="8" t="str">
        <f>VLOOKUP(A79,'mid_split_Annual Sub Sale'!F:F,1,0)</f>
        <v>#N/A</v>
      </c>
    </row>
    <row r="80" hidden="1">
      <c r="A80" s="9">
        <v>445100.0</v>
      </c>
      <c r="B80" s="8" t="str">
        <f>VLOOKUP(A80,'mid_split_Annual Sub Sale'!F:F,1,0)</f>
        <v>#N/A</v>
      </c>
    </row>
    <row r="81" hidden="1">
      <c r="A81" s="9">
        <v>414580.0</v>
      </c>
      <c r="B81" s="8" t="str">
        <f>VLOOKUP(A81,'mid_split_Annual Sub Sale'!F:F,1,0)</f>
        <v>#N/A</v>
      </c>
    </row>
    <row r="82">
      <c r="A82" s="9">
        <v>493831.0</v>
      </c>
      <c r="B82" s="8" t="str">
        <f>VLOOKUP(A82,'mid_split_Annual Sub Sale'!F:F,1,0)</f>
        <v>#N/A</v>
      </c>
    </row>
    <row r="83" hidden="1">
      <c r="A83" s="9">
        <v>400570.0</v>
      </c>
      <c r="B83" s="8" t="str">
        <f>VLOOKUP(A83,'mid_split_Annual Sub Sale'!F:F,1,0)</f>
        <v>#N/A</v>
      </c>
    </row>
    <row r="84" hidden="1">
      <c r="A84" s="9">
        <v>462845.0</v>
      </c>
      <c r="B84" s="8" t="str">
        <f>VLOOKUP(A84,'mid_split_Annual Sub Sale'!F:F,1,0)</f>
        <v>#N/A</v>
      </c>
    </row>
    <row r="85">
      <c r="A85" s="9">
        <v>487851.0</v>
      </c>
      <c r="B85" s="8" t="str">
        <f>VLOOKUP(A85,'mid_split_Annual Sub Sale'!F:F,1,0)</f>
        <v>#N/A</v>
      </c>
    </row>
    <row r="86" hidden="1">
      <c r="A86" s="9">
        <v>443512.0</v>
      </c>
      <c r="B86" s="8" t="str">
        <f>VLOOKUP(A86,'mid_split_Annual Sub Sale'!F:F,1,0)</f>
        <v>#N/A</v>
      </c>
    </row>
    <row r="87" hidden="1">
      <c r="A87" s="9">
        <v>417896.0</v>
      </c>
      <c r="B87" s="8" t="str">
        <f>VLOOKUP(A87,'mid_split_Annual Sub Sale'!F:F,1,0)</f>
        <v>#N/A</v>
      </c>
    </row>
    <row r="88" hidden="1">
      <c r="A88" s="9">
        <v>436127.0</v>
      </c>
      <c r="B88" s="8" t="str">
        <f>VLOOKUP(A88,'mid_split_Annual Sub Sale'!F:F,1,0)</f>
        <v>#N/A</v>
      </c>
    </row>
    <row r="89">
      <c r="A89" s="9">
        <v>408138.0</v>
      </c>
      <c r="B89" s="8" t="str">
        <f>VLOOKUP(A89,'mid_split_Annual Sub Sale'!F:F,1,0)</f>
        <v>#N/A</v>
      </c>
    </row>
    <row r="90" hidden="1">
      <c r="A90" s="9">
        <v>491288.0</v>
      </c>
      <c r="B90" s="8" t="str">
        <f>VLOOKUP(A90,'mid_split_Annual Sub Sale'!F:F,1,0)</f>
        <v>#N/A</v>
      </c>
    </row>
    <row r="91" hidden="1">
      <c r="A91" s="9">
        <v>422921.0</v>
      </c>
      <c r="B91" s="8" t="str">
        <f>VLOOKUP(A91,'mid_split_Annual Sub Sale'!F:F,1,0)</f>
        <v>#N/A</v>
      </c>
    </row>
    <row r="92" hidden="1">
      <c r="A92" s="9">
        <v>466349.0</v>
      </c>
      <c r="B92" s="8" t="str">
        <f>VLOOKUP(A92,'mid_split_Annual Sub Sale'!F:F,1,0)</f>
        <v>#N/A</v>
      </c>
    </row>
    <row r="93" hidden="1">
      <c r="A93" s="9">
        <v>402018.0</v>
      </c>
      <c r="B93" s="8" t="str">
        <f>VLOOKUP(A93,'mid_split_Annual Sub Sale'!F:F,1,0)</f>
        <v>#N/A</v>
      </c>
    </row>
    <row r="94" hidden="1">
      <c r="A94" s="9">
        <v>429544.0</v>
      </c>
      <c r="B94" s="8" t="str">
        <f>VLOOKUP(A94,'mid_split_Annual Sub Sale'!F:F,1,0)</f>
        <v>#N/A</v>
      </c>
    </row>
    <row r="95">
      <c r="A95" s="9">
        <v>415006.0</v>
      </c>
      <c r="B95" s="8" t="str">
        <f>VLOOKUP(A95,'mid_split_Annual Sub Sale'!F:F,1,0)</f>
        <v>#N/A</v>
      </c>
    </row>
    <row r="96" hidden="1">
      <c r="A96" s="9">
        <v>460728.0</v>
      </c>
      <c r="B96" s="8" t="str">
        <f>VLOOKUP(A96,'mid_split_Annual Sub Sale'!F:F,1,0)</f>
        <v>#N/A</v>
      </c>
    </row>
    <row r="97">
      <c r="A97" s="9">
        <v>430466.0</v>
      </c>
      <c r="B97" s="8" t="str">
        <f>VLOOKUP(A97,'mid_split_Annual Sub Sale'!F:F,1,0)</f>
        <v>#N/A</v>
      </c>
    </row>
    <row r="98">
      <c r="A98" s="9">
        <v>456441.0</v>
      </c>
      <c r="B98" s="8" t="str">
        <f>VLOOKUP(A98,'mid_split_Annual Sub Sale'!F:F,1,0)</f>
        <v>#N/A</v>
      </c>
    </row>
    <row r="99">
      <c r="A99" s="9">
        <v>451607.0</v>
      </c>
      <c r="B99" s="8" t="str">
        <f>VLOOKUP(A99,'mid_split_Annual Sub Sale'!F:F,1,0)</f>
        <v>#N/A</v>
      </c>
    </row>
    <row r="100">
      <c r="A100" s="9">
        <v>450606.0</v>
      </c>
      <c r="B100" s="8" t="str">
        <f>VLOOKUP(A100,'mid_split_Annual Sub Sale'!F:F,1,0)</f>
        <v>#N/A</v>
      </c>
    </row>
    <row r="101">
      <c r="A101" s="9">
        <v>478077.0</v>
      </c>
      <c r="B101" s="8" t="str">
        <f>VLOOKUP(A101,'mid_split_Annual Sub Sale'!F:F,1,0)</f>
        <v>#N/A</v>
      </c>
    </row>
    <row r="102">
      <c r="A102" s="9">
        <v>492107.0</v>
      </c>
      <c r="B102" s="8" t="str">
        <f>VLOOKUP(A102,'mid_split_Annual Sub Sale'!F:F,1,0)</f>
        <v>#N/A</v>
      </c>
    </row>
    <row r="103">
      <c r="A103" s="9">
        <v>445952.0</v>
      </c>
      <c r="B103" s="8" t="str">
        <f>VLOOKUP(A103,'mid_split_Annual Sub Sale'!F:F,1,0)</f>
        <v>#N/A</v>
      </c>
    </row>
    <row r="104" hidden="1">
      <c r="A104" s="9">
        <v>443628.0</v>
      </c>
      <c r="B104" s="8" t="str">
        <f>VLOOKUP(A104,'mid_split_Annual Sub Sale'!F:F,1,0)</f>
        <v>#N/A</v>
      </c>
    </row>
    <row r="105" hidden="1">
      <c r="A105" s="9">
        <v>445101.0</v>
      </c>
      <c r="B105" s="8" t="str">
        <f>VLOOKUP(A105,'mid_split_Annual Sub Sale'!F:F,1,0)</f>
        <v>#N/A</v>
      </c>
    </row>
    <row r="106" hidden="1">
      <c r="A106" s="9">
        <v>402464.0</v>
      </c>
      <c r="B106" s="8" t="str">
        <f>VLOOKUP(A106,'mid_split_Annual Sub Sale'!F:F,1,0)</f>
        <v>#N/A</v>
      </c>
    </row>
    <row r="107">
      <c r="A107" s="9">
        <v>447596.0</v>
      </c>
      <c r="B107" s="8" t="str">
        <f>VLOOKUP(A107,'mid_split_Annual Sub Sale'!F:F,1,0)</f>
        <v>#N/A</v>
      </c>
    </row>
    <row r="108">
      <c r="A108" s="9">
        <v>492167.0</v>
      </c>
      <c r="B108" s="8" t="str">
        <f>VLOOKUP(A108,'mid_split_Annual Sub Sale'!F:F,1,0)</f>
        <v>#N/A</v>
      </c>
    </row>
    <row r="109" hidden="1">
      <c r="A109" s="9">
        <v>423980.0</v>
      </c>
      <c r="B109" s="8" t="str">
        <f>VLOOKUP(A109,'mid_split_Annual Sub Sale'!F:F,1,0)</f>
        <v>#N/A</v>
      </c>
    </row>
    <row r="110">
      <c r="A110" s="9">
        <v>479696.0</v>
      </c>
      <c r="B110" s="8" t="str">
        <f>VLOOKUP(A110,'mid_split_Annual Sub Sale'!F:F,1,0)</f>
        <v>#N/A</v>
      </c>
    </row>
    <row r="111">
      <c r="A111" s="9">
        <v>420804.0</v>
      </c>
      <c r="B111" s="8" t="str">
        <f>VLOOKUP(A111,'mid_split_Annual Sub Sale'!F:F,1,0)</f>
        <v>#N/A</v>
      </c>
    </row>
    <row r="112">
      <c r="A112" s="9">
        <v>450827.0</v>
      </c>
      <c r="B112" s="8" t="str">
        <f>VLOOKUP(A112,'mid_split_Annual Sub Sale'!F:F,1,0)</f>
        <v>#N/A</v>
      </c>
    </row>
    <row r="113">
      <c r="A113" s="9">
        <v>453509.0</v>
      </c>
      <c r="B113" s="8" t="str">
        <f>VLOOKUP(A113,'mid_split_Annual Sub Sale'!F:F,1,0)</f>
        <v>#N/A</v>
      </c>
    </row>
    <row r="114">
      <c r="A114" s="9">
        <v>430220.0</v>
      </c>
      <c r="B114" s="8" t="str">
        <f>VLOOKUP(A114,'mid_split_Annual Sub Sale'!F:F,1,0)</f>
        <v>#N/A</v>
      </c>
    </row>
    <row r="115" hidden="1">
      <c r="A115" s="9">
        <v>447581.0</v>
      </c>
      <c r="B115" s="8" t="str">
        <f>VLOOKUP(A115,'mid_split_Annual Sub Sale'!F:F,1,0)</f>
        <v>#N/A</v>
      </c>
    </row>
    <row r="116" hidden="1">
      <c r="A116" s="9">
        <v>429377.0</v>
      </c>
      <c r="B116" s="8" t="str">
        <f>VLOOKUP(A116,'mid_split_Annual Sub Sale'!F:F,1,0)</f>
        <v>#N/A</v>
      </c>
    </row>
    <row r="117">
      <c r="A117" s="9">
        <v>436338.0</v>
      </c>
      <c r="B117" s="8" t="str">
        <f>VLOOKUP(A117,'mid_split_Annual Sub Sale'!F:F,1,0)</f>
        <v>#N/A</v>
      </c>
    </row>
    <row r="118">
      <c r="A118" s="9">
        <v>411238.0</v>
      </c>
      <c r="B118" s="8" t="str">
        <f>VLOOKUP(A118,'mid_split_Annual Sub Sale'!F:F,1,0)</f>
        <v>#N/A</v>
      </c>
    </row>
    <row r="119" hidden="1">
      <c r="A119" s="9">
        <v>429420.0</v>
      </c>
      <c r="B119" s="8" t="str">
        <f>VLOOKUP(A119,'mid_split_Annual Sub Sale'!F:F,1,0)</f>
        <v>#N/A</v>
      </c>
    </row>
    <row r="120">
      <c r="A120" s="9">
        <v>467021.0</v>
      </c>
      <c r="B120" s="8" t="str">
        <f>VLOOKUP(A120,'mid_split_Annual Sub Sale'!F:F,1,0)</f>
        <v>#N/A</v>
      </c>
    </row>
    <row r="121">
      <c r="A121" s="9">
        <v>430861.0</v>
      </c>
      <c r="B121" s="8" t="str">
        <f>VLOOKUP(A121,'mid_split_Annual Sub Sale'!F:F,1,0)</f>
        <v>#N/A</v>
      </c>
    </row>
    <row r="122">
      <c r="A122" s="9">
        <v>441707.0</v>
      </c>
      <c r="B122" s="8" t="str">
        <f>VLOOKUP(A122,'mid_split_Annual Sub Sale'!F:F,1,0)</f>
        <v>#N/A</v>
      </c>
    </row>
    <row r="123">
      <c r="A123" s="9">
        <v>460977.0</v>
      </c>
      <c r="B123" s="8" t="str">
        <f>VLOOKUP(A123,'mid_split_Annual Sub Sale'!F:F,1,0)</f>
        <v>#N/A</v>
      </c>
    </row>
    <row r="124">
      <c r="A124" s="9">
        <v>447589.0</v>
      </c>
      <c r="B124" s="8" t="str">
        <f>VLOOKUP(A124,'mid_split_Annual Sub Sale'!F:F,1,0)</f>
        <v>#N/A</v>
      </c>
    </row>
    <row r="125" hidden="1">
      <c r="A125" s="9">
        <v>415158.0</v>
      </c>
      <c r="B125" s="8" t="str">
        <f>VLOOKUP(A125,'mid_split_Annual Sub Sale'!F:F,1,0)</f>
        <v>#N/A</v>
      </c>
    </row>
    <row r="126">
      <c r="A126" s="9">
        <v>443420.0</v>
      </c>
      <c r="B126" s="8" t="str">
        <f>VLOOKUP(A126,'mid_split_Annual Sub Sale'!F:F,1,0)</f>
        <v>#N/A</v>
      </c>
    </row>
    <row r="127">
      <c r="A127" s="9">
        <v>454404.0</v>
      </c>
      <c r="B127" s="8" t="str">
        <f>VLOOKUP(A127,'mid_split_Annual Sub Sale'!F:F,1,0)</f>
        <v>#N/A</v>
      </c>
    </row>
    <row r="128">
      <c r="A128" s="9">
        <v>481436.0</v>
      </c>
      <c r="B128" s="8" t="str">
        <f>VLOOKUP(A128,'mid_split_Annual Sub Sale'!F:F,1,0)</f>
        <v>#N/A</v>
      </c>
    </row>
    <row r="129">
      <c r="A129" s="9">
        <v>460192.0</v>
      </c>
      <c r="B129" s="8" t="str">
        <f>VLOOKUP(A129,'mid_split_Annual Sub Sale'!F:F,1,0)</f>
        <v>#N/A</v>
      </c>
    </row>
    <row r="130">
      <c r="A130" s="9">
        <v>490117.0</v>
      </c>
      <c r="B130" s="8" t="str">
        <f>VLOOKUP(A130,'mid_split_Annual Sub Sale'!F:F,1,0)</f>
        <v>#N/A</v>
      </c>
    </row>
    <row r="131">
      <c r="A131" s="9">
        <v>453352.0</v>
      </c>
      <c r="B131" s="8" t="str">
        <f>VLOOKUP(A131,'mid_split_Annual Sub Sale'!F:F,1,0)</f>
        <v>#N/A</v>
      </c>
    </row>
    <row r="132" hidden="1">
      <c r="A132" s="9">
        <v>462761.0</v>
      </c>
      <c r="B132" s="8" t="str">
        <f>VLOOKUP(A132,'mid_split_Annual Sub Sale'!F:F,1,0)</f>
        <v>#N/A</v>
      </c>
    </row>
    <row r="133" hidden="1">
      <c r="A133" s="9">
        <v>479126.0</v>
      </c>
      <c r="B133" s="8" t="str">
        <f>VLOOKUP(A133,'mid_split_Annual Sub Sale'!F:F,1,0)</f>
        <v>#N/A</v>
      </c>
    </row>
    <row r="134">
      <c r="A134" s="9">
        <v>449510.0</v>
      </c>
      <c r="B134" s="8" t="str">
        <f>VLOOKUP(A134,'mid_split_Annual Sub Sale'!F:F,1,0)</f>
        <v>#N/A</v>
      </c>
    </row>
    <row r="135" hidden="1">
      <c r="A135" s="9">
        <v>432742.0</v>
      </c>
      <c r="B135" s="8" t="str">
        <f>VLOOKUP(A135,'mid_split_Annual Sub Sale'!F:F,1,0)</f>
        <v>#N/A</v>
      </c>
    </row>
    <row r="136">
      <c r="A136" s="9">
        <v>402020.0</v>
      </c>
      <c r="B136" s="8" t="str">
        <f>VLOOKUP(A136,'mid_split_Annual Sub Sale'!F:F,1,0)</f>
        <v>#N/A</v>
      </c>
    </row>
    <row r="137" hidden="1">
      <c r="A137" s="9">
        <v>453598.0</v>
      </c>
      <c r="B137" s="8" t="str">
        <f>VLOOKUP(A137,'mid_split_Annual Sub Sale'!F:F,1,0)</f>
        <v>#N/A</v>
      </c>
    </row>
    <row r="138">
      <c r="A138" s="9">
        <v>442007.0</v>
      </c>
      <c r="B138" s="8" t="str">
        <f>VLOOKUP(A138,'mid_split_Annual Sub Sale'!F:F,1,0)</f>
        <v>#N/A</v>
      </c>
    </row>
    <row r="139">
      <c r="A139" s="9">
        <v>492017.0</v>
      </c>
      <c r="B139" s="8" t="str">
        <f>VLOOKUP(A139,'mid_split_Annual Sub Sale'!F:F,1,0)</f>
        <v>#N/A</v>
      </c>
    </row>
    <row r="140">
      <c r="A140" s="9">
        <v>483206.0</v>
      </c>
      <c r="B140" s="8" t="str">
        <f>VLOOKUP(A140,'mid_split_Annual Sub Sale'!F:F,1,0)</f>
        <v>#N/A</v>
      </c>
    </row>
    <row r="141" hidden="1">
      <c r="A141" s="9">
        <v>422496.0</v>
      </c>
      <c r="B141" s="8" t="str">
        <f>VLOOKUP(A141,'mid_split_Annual Sub Sale'!F:F,1,0)</f>
        <v>#N/A</v>
      </c>
    </row>
    <row r="142">
      <c r="A142" s="9">
        <v>417657.0</v>
      </c>
      <c r="B142" s="8" t="str">
        <f>VLOOKUP(A142,'mid_split_Annual Sub Sale'!F:F,1,0)</f>
        <v>#N/A</v>
      </c>
    </row>
    <row r="143">
      <c r="A143" s="9">
        <v>420994.0</v>
      </c>
      <c r="B143" s="8" t="str">
        <f>VLOOKUP(A143,'mid_split_Annual Sub Sale'!F:F,1,0)</f>
        <v>#N/A</v>
      </c>
    </row>
    <row r="144">
      <c r="A144" s="9">
        <v>425909.0</v>
      </c>
      <c r="B144" s="8" t="str">
        <f>VLOOKUP(A144,'mid_split_Annual Sub Sale'!F:F,1,0)</f>
        <v>#N/A</v>
      </c>
    </row>
    <row r="145">
      <c r="A145" s="9">
        <v>443460.0</v>
      </c>
      <c r="B145" s="8" t="str">
        <f>VLOOKUP(A145,'mid_split_Annual Sub Sale'!F:F,1,0)</f>
        <v>#N/A</v>
      </c>
    </row>
    <row r="146" hidden="1">
      <c r="A146" s="9">
        <v>407535.0</v>
      </c>
      <c r="B146" s="8" t="str">
        <f>VLOOKUP(A146,'mid_split_Annual Sub Sale'!F:F,1,0)</f>
        <v>#N/A</v>
      </c>
    </row>
    <row r="147" hidden="1">
      <c r="A147" s="9">
        <v>438482.0</v>
      </c>
      <c r="B147" s="8" t="str">
        <f>VLOOKUP(A147,'mid_split_Annual Sub Sale'!F:F,1,0)</f>
        <v>#N/A</v>
      </c>
    </row>
    <row r="148">
      <c r="A148" s="9">
        <v>428259.0</v>
      </c>
      <c r="B148" s="8" t="str">
        <f>VLOOKUP(A148,'mid_split_Annual Sub Sale'!F:F,1,0)</f>
        <v>#N/A</v>
      </c>
    </row>
    <row r="149" hidden="1">
      <c r="A149" s="9">
        <v>430586.0</v>
      </c>
      <c r="B149" s="8" t="str">
        <f>VLOOKUP(A149,'mid_split_Annual Sub Sale'!F:F,1,0)</f>
        <v>#N/A</v>
      </c>
    </row>
    <row r="150">
      <c r="A150" s="9">
        <v>460184.0</v>
      </c>
      <c r="B150" s="8" t="str">
        <f>VLOOKUP(A150,'mid_split_Annual Sub Sale'!F:F,1,0)</f>
        <v>#N/A</v>
      </c>
    </row>
    <row r="151">
      <c r="A151" s="9">
        <v>491523.0</v>
      </c>
      <c r="B151" s="8" t="str">
        <f>VLOOKUP(A151,'mid_split_Annual Sub Sale'!F:F,1,0)</f>
        <v>#N/A</v>
      </c>
    </row>
    <row r="152" hidden="1">
      <c r="A152" s="9">
        <v>454481.0</v>
      </c>
      <c r="B152" s="8" t="str">
        <f>VLOOKUP(A152,'mid_split_Annual Sub Sale'!F:F,1,0)</f>
        <v>#N/A</v>
      </c>
    </row>
    <row r="153" hidden="1">
      <c r="A153" s="9">
        <v>448251.0</v>
      </c>
      <c r="B153" s="8" t="str">
        <f>VLOOKUP(A153,'mid_split_Annual Sub Sale'!F:F,1,0)</f>
        <v>#N/A</v>
      </c>
    </row>
    <row r="154" hidden="1">
      <c r="A154" s="9">
        <v>429820.0</v>
      </c>
      <c r="B154" s="8" t="str">
        <f>VLOOKUP(A154,'mid_split_Annual Sub Sale'!F:F,1,0)</f>
        <v>#N/A</v>
      </c>
    </row>
    <row r="155">
      <c r="A155" s="9">
        <v>439044.0</v>
      </c>
      <c r="B155" s="8" t="str">
        <f>VLOOKUP(A155,'mid_split_Annual Sub Sale'!F:F,1,0)</f>
        <v>#N/A</v>
      </c>
    </row>
    <row r="156">
      <c r="A156" s="9">
        <v>443918.0</v>
      </c>
      <c r="B156" s="8" t="str">
        <f>VLOOKUP(A156,'mid_split_Annual Sub Sale'!F:F,1,0)</f>
        <v>#N/A</v>
      </c>
    </row>
    <row r="157">
      <c r="A157" s="9">
        <v>433390.0</v>
      </c>
      <c r="B157" s="8" t="str">
        <f>VLOOKUP(A157,'mid_split_Annual Sub Sale'!F:F,1,0)</f>
        <v>#N/A</v>
      </c>
    </row>
    <row r="158">
      <c r="A158" s="9">
        <v>415436.0</v>
      </c>
      <c r="B158" s="8" t="str">
        <f>VLOOKUP(A158,'mid_split_Annual Sub Sale'!F:F,1,0)</f>
        <v>#N/A</v>
      </c>
    </row>
    <row r="159">
      <c r="A159" s="9">
        <v>477778.0</v>
      </c>
      <c r="B159" s="8" t="str">
        <f>VLOOKUP(A159,'mid_split_Annual Sub Sale'!F:F,1,0)</f>
        <v>#N/A</v>
      </c>
    </row>
    <row r="160">
      <c r="A160" s="9">
        <v>431944.0</v>
      </c>
      <c r="B160" s="8" t="str">
        <f>VLOOKUP(A160,'mid_split_Annual Sub Sale'!F:F,1,0)</f>
        <v>#N/A</v>
      </c>
    </row>
    <row r="161">
      <c r="A161" s="9">
        <v>469279.0</v>
      </c>
      <c r="B161" s="8" t="str">
        <f>VLOOKUP(A161,'mid_split_Annual Sub Sale'!F:F,1,0)</f>
        <v>#N/A</v>
      </c>
    </row>
    <row r="162">
      <c r="A162" s="9">
        <v>481000.0</v>
      </c>
      <c r="B162" s="8" t="str">
        <f>VLOOKUP(A162,'mid_split_Annual Sub Sale'!F:F,1,0)</f>
        <v>#N/A</v>
      </c>
    </row>
    <row r="163">
      <c r="A163" s="9">
        <v>446223.0</v>
      </c>
      <c r="B163" s="8" t="str">
        <f>VLOOKUP(A163,'mid_split_Annual Sub Sale'!F:F,1,0)</f>
        <v>#N/A</v>
      </c>
    </row>
    <row r="164" hidden="1">
      <c r="A164" s="9">
        <v>414314.0</v>
      </c>
      <c r="B164" s="8" t="str">
        <f>VLOOKUP(A164,'mid_split_Annual Sub Sale'!F:F,1,0)</f>
        <v>#N/A</v>
      </c>
    </row>
    <row r="165">
      <c r="A165" s="9">
        <v>451707.0</v>
      </c>
      <c r="B165" s="8" t="str">
        <f>VLOOKUP(A165,'mid_split_Annual Sub Sale'!F:F,1,0)</f>
        <v>#N/A</v>
      </c>
    </row>
    <row r="166">
      <c r="A166" s="9">
        <v>439590.0</v>
      </c>
      <c r="B166" s="8" t="str">
        <f>VLOOKUP(A166,'mid_split_Annual Sub Sale'!F:F,1,0)</f>
        <v>#N/A</v>
      </c>
    </row>
    <row r="167">
      <c r="A167" s="9">
        <v>456353.0</v>
      </c>
      <c r="B167" s="8" t="str">
        <f>VLOOKUP(A167,'mid_split_Annual Sub Sale'!F:F,1,0)</f>
        <v>#N/A</v>
      </c>
    </row>
    <row r="168">
      <c r="A168" s="9">
        <v>434236.0</v>
      </c>
      <c r="B168" s="8" t="str">
        <f>VLOOKUP(A168,'mid_split_Annual Sub Sale'!F:F,1,0)</f>
        <v>#N/A</v>
      </c>
    </row>
    <row r="169">
      <c r="A169" s="9">
        <v>438875.0</v>
      </c>
      <c r="B169" s="8" t="str">
        <f>VLOOKUP(A169,'mid_split_Annual Sub Sale'!F:F,1,0)</f>
        <v>#N/A</v>
      </c>
    </row>
    <row r="170">
      <c r="A170" s="9">
        <v>411352.0</v>
      </c>
      <c r="B170" s="8" t="str">
        <f>VLOOKUP(A170,'mid_split_Annual Sub Sale'!F:F,1,0)</f>
        <v>#N/A</v>
      </c>
    </row>
    <row r="171">
      <c r="A171" s="9">
        <v>427347.0</v>
      </c>
      <c r="B171" s="8" t="str">
        <f>VLOOKUP(A171,'mid_split_Annual Sub Sale'!F:F,1,0)</f>
        <v>#N/A</v>
      </c>
    </row>
    <row r="172">
      <c r="A172" s="9">
        <v>443441.0</v>
      </c>
      <c r="B172" s="8" t="str">
        <f>VLOOKUP(A172,'mid_split_Annual Sub Sale'!F:F,1,0)</f>
        <v>#N/A</v>
      </c>
    </row>
    <row r="173">
      <c r="A173" s="9">
        <v>453737.0</v>
      </c>
      <c r="B173" s="8" t="str">
        <f>VLOOKUP(A173,'mid_split_Annual Sub Sale'!F:F,1,0)</f>
        <v>#N/A</v>
      </c>
    </row>
    <row r="174">
      <c r="A174" s="9">
        <v>432853.0</v>
      </c>
      <c r="B174" s="8" t="str">
        <f>VLOOKUP(A174,'mid_split_Annual Sub Sale'!F:F,1,0)</f>
        <v>#N/A</v>
      </c>
    </row>
    <row r="175">
      <c r="A175" s="9">
        <v>494099.0</v>
      </c>
      <c r="B175" s="8" t="str">
        <f>VLOOKUP(A175,'mid_split_Annual Sub Sale'!F:F,1,0)</f>
        <v>#N/A</v>
      </c>
    </row>
    <row r="176">
      <c r="A176" s="9">
        <v>465941.0</v>
      </c>
      <c r="B176" s="8" t="str">
        <f>VLOOKUP(A176,'mid_split_Annual Sub Sale'!F:F,1,0)</f>
        <v>#N/A</v>
      </c>
    </row>
    <row r="177">
      <c r="A177" s="9">
        <v>443469.0</v>
      </c>
      <c r="B177" s="8" t="str">
        <f>VLOOKUP(A177,'mid_split_Annual Sub Sale'!F:F,1,0)</f>
        <v>#N/A</v>
      </c>
    </row>
    <row r="178">
      <c r="A178" s="9">
        <v>439599.0</v>
      </c>
      <c r="B178" s="8" t="str">
        <f>VLOOKUP(A178,'mid_split_Annual Sub Sale'!F:F,1,0)</f>
        <v>#N/A</v>
      </c>
    </row>
    <row r="179">
      <c r="A179" s="9">
        <v>441580.0</v>
      </c>
      <c r="B179" s="8" t="str">
        <f>VLOOKUP(A179,'mid_split_Annual Sub Sale'!F:F,1,0)</f>
        <v>#N/A</v>
      </c>
    </row>
    <row r="180">
      <c r="A180" s="9">
        <v>460246.0</v>
      </c>
      <c r="B180" s="8" t="str">
        <f>VLOOKUP(A180,'mid_split_Annual Sub Sale'!F:F,1,0)</f>
        <v>#N/A</v>
      </c>
    </row>
    <row r="181">
      <c r="A181" s="9">
        <v>412523.0</v>
      </c>
      <c r="B181" s="8" t="str">
        <f>VLOOKUP(A181,'mid_split_Annual Sub Sale'!F:F,1,0)</f>
        <v>#N/A</v>
      </c>
    </row>
    <row r="182">
      <c r="A182" s="9">
        <v>462161.0</v>
      </c>
      <c r="B182" s="8" t="str">
        <f>VLOOKUP(A182,'mid_split_Annual Sub Sale'!F:F,1,0)</f>
        <v>#N/A</v>
      </c>
    </row>
    <row r="183" hidden="1">
      <c r="A183" s="9">
        <v>449435.0</v>
      </c>
      <c r="B183" s="8" t="str">
        <f>VLOOKUP(A183,'mid_split_Annual Sub Sale'!F:F,1,0)</f>
        <v>#N/A</v>
      </c>
    </row>
    <row r="184">
      <c r="A184" s="9">
        <v>460223.0</v>
      </c>
      <c r="B184" s="8" t="str">
        <f>VLOOKUP(A184,'mid_split_Annual Sub Sale'!F:F,1,0)</f>
        <v>#N/A</v>
      </c>
    </row>
    <row r="185">
      <c r="A185" s="9">
        <v>478280.0</v>
      </c>
      <c r="B185" s="8" t="str">
        <f>VLOOKUP(A185,'mid_split_Annual Sub Sale'!F:F,1,0)</f>
        <v>#N/A</v>
      </c>
    </row>
    <row r="186">
      <c r="A186" s="9">
        <v>431941.0</v>
      </c>
      <c r="B186" s="8" t="str">
        <f>VLOOKUP(A186,'mid_split_Annual Sub Sale'!F:F,1,0)</f>
        <v>#N/A</v>
      </c>
    </row>
    <row r="187">
      <c r="A187" s="9">
        <v>414049.0</v>
      </c>
      <c r="B187" s="8" t="str">
        <f>VLOOKUP(A187,'mid_split_Annual Sub Sale'!F:F,1,0)</f>
        <v>#N/A</v>
      </c>
    </row>
    <row r="188">
      <c r="A188" s="9">
        <v>474187.0</v>
      </c>
      <c r="B188" s="8" t="str">
        <f>VLOOKUP(A188,'mid_split_Annual Sub Sale'!F:F,1,0)</f>
        <v>#N/A</v>
      </c>
    </row>
    <row r="189">
      <c r="A189" s="9">
        <v>495000.0</v>
      </c>
      <c r="B189" s="8" t="str">
        <f>VLOOKUP(A189,'mid_split_Annual Sub Sale'!F:F,1,0)</f>
        <v>#N/A</v>
      </c>
    </row>
    <row r="190">
      <c r="A190" s="9">
        <v>400167.0</v>
      </c>
      <c r="B190" s="8" t="str">
        <f>VLOOKUP(A190,'mid_split_Annual Sub Sale'!F:F,1,0)</f>
        <v>#N/A</v>
      </c>
    </row>
    <row r="191" hidden="1">
      <c r="A191" s="9">
        <v>419499.0</v>
      </c>
      <c r="B191" s="8" t="str">
        <f>VLOOKUP(A191,'mid_split_Annual Sub Sale'!F:F,1,0)</f>
        <v>#N/A</v>
      </c>
    </row>
    <row r="192">
      <c r="A192" s="9">
        <v>492536.0</v>
      </c>
      <c r="B192" s="8" t="str">
        <f>VLOOKUP(A192,'mid_split_Annual Sub Sale'!F:F,1,0)</f>
        <v>#N/A</v>
      </c>
    </row>
    <row r="193">
      <c r="A193" s="9">
        <v>431950.0</v>
      </c>
      <c r="B193" s="8" t="str">
        <f>VLOOKUP(A193,'mid_split_Annual Sub Sale'!F:F,1,0)</f>
        <v>#N/A</v>
      </c>
    </row>
    <row r="194">
      <c r="A194" s="9">
        <v>433419.0</v>
      </c>
      <c r="B194" s="8" t="str">
        <f>VLOOKUP(A194,'mid_split_Annual Sub Sale'!F:F,1,0)</f>
        <v>#N/A</v>
      </c>
    </row>
    <row r="195">
      <c r="A195" s="9">
        <v>409758.0</v>
      </c>
      <c r="B195" s="8" t="str">
        <f>VLOOKUP(A195,'mid_split_Annual Sub Sale'!F:F,1,0)</f>
        <v>#N/A</v>
      </c>
    </row>
    <row r="196">
      <c r="A196" s="9">
        <v>436118.0</v>
      </c>
      <c r="B196" s="8" t="str">
        <f>VLOOKUP(A196,'mid_split_Annual Sub Sale'!F:F,1,0)</f>
        <v>#N/A</v>
      </c>
    </row>
    <row r="197">
      <c r="A197" s="9">
        <v>449996.0</v>
      </c>
      <c r="B197" s="8" t="str">
        <f>VLOOKUP(A197,'mid_split_Annual Sub Sale'!F:F,1,0)</f>
        <v>#N/A</v>
      </c>
    </row>
    <row r="198">
      <c r="A198" s="9">
        <v>422165.0</v>
      </c>
      <c r="B198" s="8" t="str">
        <f>VLOOKUP(A198,'mid_split_Annual Sub Sale'!F:F,1,0)</f>
        <v>#N/A</v>
      </c>
    </row>
    <row r="199">
      <c r="A199" s="9">
        <v>469441.0</v>
      </c>
      <c r="B199" s="8" t="str">
        <f>VLOOKUP(A199,'mid_split_Annual Sub Sale'!F:F,1,0)</f>
        <v>#N/A</v>
      </c>
    </row>
    <row r="200">
      <c r="A200" s="9">
        <v>492065.0</v>
      </c>
      <c r="B200" s="8" t="str">
        <f>VLOOKUP(A200,'mid_split_Annual Sub Sale'!F:F,1,0)</f>
        <v>#N/A</v>
      </c>
    </row>
    <row r="201" hidden="1">
      <c r="A201" s="9">
        <v>454860.0</v>
      </c>
      <c r="B201" s="8" t="str">
        <f>VLOOKUP(A201,'mid_split_Annual Sub Sale'!F:F,1,0)</f>
        <v>#N/A</v>
      </c>
    </row>
    <row r="202">
      <c r="A202" s="9">
        <v>413171.0</v>
      </c>
      <c r="B202" s="8" t="str">
        <f>VLOOKUP(A202,'mid_split_Annual Sub Sale'!F:F,1,0)</f>
        <v>#N/A</v>
      </c>
    </row>
    <row r="203">
      <c r="A203" s="9">
        <v>491517.0</v>
      </c>
      <c r="B203" s="8" t="str">
        <f>VLOOKUP(A203,'mid_split_Annual Sub Sale'!F:F,1,0)</f>
        <v>#N/A</v>
      </c>
    </row>
    <row r="204">
      <c r="A204" s="9">
        <v>479557.0</v>
      </c>
      <c r="B204" s="8" t="str">
        <f>VLOOKUP(A204,'mid_split_Annual Sub Sale'!F:F,1,0)</f>
        <v>#N/A</v>
      </c>
    </row>
    <row r="205">
      <c r="A205" s="9">
        <v>464691.0</v>
      </c>
      <c r="B205" s="8" t="str">
        <f>VLOOKUP(A205,'mid_split_Annual Sub Sale'!F:F,1,0)</f>
        <v>#N/A</v>
      </c>
    </row>
    <row r="206">
      <c r="A206" s="9">
        <v>433467.0</v>
      </c>
      <c r="B206" s="8" t="str">
        <f>VLOOKUP(A206,'mid_split_Annual Sub Sale'!F:F,1,0)</f>
        <v>#N/A</v>
      </c>
    </row>
    <row r="207">
      <c r="A207" s="9">
        <v>491782.0</v>
      </c>
      <c r="B207" s="8" t="str">
        <f>VLOOKUP(A207,'mid_split_Annual Sub Sale'!F:F,1,0)</f>
        <v>#N/A</v>
      </c>
    </row>
    <row r="208">
      <c r="A208" s="9">
        <v>449269.0</v>
      </c>
      <c r="B208" s="8" t="str">
        <f>VLOOKUP(A208,'mid_split_Annual Sub Sale'!F:F,1,0)</f>
        <v>#N/A</v>
      </c>
    </row>
    <row r="209">
      <c r="A209" s="9">
        <v>450302.0</v>
      </c>
      <c r="B209" s="8" t="str">
        <f>VLOOKUP(A209,'mid_split_Annual Sub Sale'!F:F,1,0)</f>
        <v>#N/A</v>
      </c>
    </row>
    <row r="210">
      <c r="A210" s="9">
        <v>458056.0</v>
      </c>
      <c r="B210" s="8" t="str">
        <f>VLOOKUP(A210,'mid_split_Annual Sub Sale'!F:F,1,0)</f>
        <v>#N/A</v>
      </c>
    </row>
    <row r="211">
      <c r="A211" s="9">
        <v>487145.0</v>
      </c>
      <c r="B211" s="8" t="str">
        <f>VLOOKUP(A211,'mid_split_Annual Sub Sale'!F:F,1,0)</f>
        <v>#N/A</v>
      </c>
    </row>
    <row r="212">
      <c r="A212" s="9">
        <v>494025.0</v>
      </c>
      <c r="B212" s="8" t="str">
        <f>VLOOKUP(A212,'mid_split_Annual Sub Sale'!F:F,1,0)</f>
        <v>#N/A</v>
      </c>
    </row>
    <row r="213">
      <c r="A213" s="9">
        <v>415698.0</v>
      </c>
      <c r="B213" s="8" t="str">
        <f>VLOOKUP(A213,'mid_split_Annual Sub Sale'!F:F,1,0)</f>
        <v>#N/A</v>
      </c>
    </row>
    <row r="214">
      <c r="A214" s="9">
        <v>459984.0</v>
      </c>
      <c r="B214" s="8" t="str">
        <f>VLOOKUP(A214,'mid_split_Annual Sub Sale'!F:F,1,0)</f>
        <v>#N/A</v>
      </c>
    </row>
    <row r="215" hidden="1">
      <c r="A215" s="9">
        <v>404206.0</v>
      </c>
      <c r="B215" s="8" t="str">
        <f>VLOOKUP(A215,'mid_split_Annual Sub Sale'!F:F,1,0)</f>
        <v>#N/A</v>
      </c>
    </row>
    <row r="216">
      <c r="A216" s="9">
        <v>465855.0</v>
      </c>
      <c r="B216" s="8" t="str">
        <f>VLOOKUP(A216,'mid_split_Annual Sub Sale'!F:F,1,0)</f>
        <v>#N/A</v>
      </c>
    </row>
    <row r="217">
      <c r="A217" s="9">
        <v>453332.0</v>
      </c>
      <c r="B217" s="8" t="str">
        <f>VLOOKUP(A217,'mid_split_Annual Sub Sale'!F:F,1,0)</f>
        <v>#N/A</v>
      </c>
    </row>
    <row r="218">
      <c r="A218" s="9">
        <v>444439.0</v>
      </c>
      <c r="B218" s="8" t="str">
        <f>VLOOKUP(A218,'mid_split_Annual Sub Sale'!F:F,1,0)</f>
        <v>#N/A</v>
      </c>
    </row>
    <row r="219">
      <c r="A219" s="9">
        <v>425908.0</v>
      </c>
      <c r="B219" s="8" t="str">
        <f>VLOOKUP(A219,'mid_split_Annual Sub Sale'!F:F,1,0)</f>
        <v>#N/A</v>
      </c>
    </row>
    <row r="220">
      <c r="A220" s="9">
        <v>465945.0</v>
      </c>
      <c r="B220" s="8" t="str">
        <f>VLOOKUP(A220,'mid_split_Annual Sub Sale'!F:F,1,0)</f>
        <v>#N/A</v>
      </c>
    </row>
    <row r="221">
      <c r="A221" s="9">
        <v>493452.0</v>
      </c>
      <c r="B221" s="8" t="str">
        <f>VLOOKUP(A221,'mid_split_Annual Sub Sale'!F:F,1,0)</f>
        <v>#N/A</v>
      </c>
    </row>
    <row r="222">
      <c r="A222" s="9">
        <v>419742.0</v>
      </c>
      <c r="B222" s="8" t="str">
        <f>VLOOKUP(A222,'mid_split_Annual Sub Sale'!F:F,1,0)</f>
        <v>#N/A</v>
      </c>
    </row>
    <row r="223">
      <c r="A223" s="9">
        <v>485141.0</v>
      </c>
      <c r="B223" s="8" t="str">
        <f>VLOOKUP(A223,'mid_split_Annual Sub Sale'!F:F,1,0)</f>
        <v>#N/A</v>
      </c>
    </row>
    <row r="224">
      <c r="A224" s="9">
        <v>490762.0</v>
      </c>
      <c r="B224" s="8" t="str">
        <f>VLOOKUP(A224,'mid_split_Annual Sub Sale'!F:F,1,0)</f>
        <v>#N/A</v>
      </c>
    </row>
    <row r="225">
      <c r="A225" s="9">
        <v>455206.0</v>
      </c>
      <c r="B225" s="8" t="str">
        <f>VLOOKUP(A225,'mid_split_Annual Sub Sale'!F:F,1,0)</f>
        <v>#N/A</v>
      </c>
    </row>
    <row r="226">
      <c r="A226" s="9">
        <v>473439.0</v>
      </c>
      <c r="B226" s="8" t="str">
        <f>VLOOKUP(A226,'mid_split_Annual Sub Sale'!F:F,1,0)</f>
        <v>#N/A</v>
      </c>
    </row>
    <row r="227" hidden="1">
      <c r="A227" s="9">
        <v>423568.0</v>
      </c>
      <c r="B227" s="8" t="str">
        <f>VLOOKUP(A227,'mid_split_Annual Sub Sale'!F:F,1,0)</f>
        <v>#N/A</v>
      </c>
    </row>
    <row r="228">
      <c r="A228" s="9">
        <v>440752.0</v>
      </c>
      <c r="B228" s="8" t="str">
        <f>VLOOKUP(A228,'mid_split_Annual Sub Sale'!F:F,1,0)</f>
        <v>#N/A</v>
      </c>
    </row>
    <row r="229">
      <c r="A229" s="9">
        <v>493130.0</v>
      </c>
      <c r="B229" s="8" t="str">
        <f>VLOOKUP(A229,'mid_split_Annual Sub Sale'!F:F,1,0)</f>
        <v>#N/A</v>
      </c>
    </row>
    <row r="230">
      <c r="A230" s="9">
        <v>435716.0</v>
      </c>
      <c r="B230" s="8" t="str">
        <f>VLOOKUP(A230,'mid_split_Annual Sub Sale'!F:F,1,0)</f>
        <v>#N/A</v>
      </c>
    </row>
    <row r="231">
      <c r="A231" s="9">
        <v>441297.0</v>
      </c>
      <c r="B231" s="8" t="str">
        <f>VLOOKUP(A231,'mid_split_Annual Sub Sale'!F:F,1,0)</f>
        <v>#N/A</v>
      </c>
    </row>
    <row r="232" hidden="1">
      <c r="A232" s="9">
        <v>400908.0</v>
      </c>
      <c r="B232" s="8" t="str">
        <f>VLOOKUP(A232,'mid_split_Annual Sub Sale'!F:F,1,0)</f>
        <v>#N/A</v>
      </c>
    </row>
    <row r="233">
      <c r="A233" s="9">
        <v>438083.0</v>
      </c>
      <c r="B233" s="8" t="str">
        <f>VLOOKUP(A233,'mid_split_Annual Sub Sale'!F:F,1,0)</f>
        <v>#N/A</v>
      </c>
    </row>
    <row r="234">
      <c r="A234" s="9">
        <v>455627.0</v>
      </c>
      <c r="B234" s="8" t="str">
        <f>VLOOKUP(A234,'mid_split_Annual Sub Sale'!F:F,1,0)</f>
        <v>#N/A</v>
      </c>
    </row>
    <row r="235">
      <c r="A235" s="9">
        <v>454703.0</v>
      </c>
      <c r="B235" s="8" t="str">
        <f>VLOOKUP(A235,'mid_split_Annual Sub Sale'!F:F,1,0)</f>
        <v>#N/A</v>
      </c>
    </row>
    <row r="236">
      <c r="A236" s="9">
        <v>451395.0</v>
      </c>
      <c r="B236" s="8" t="str">
        <f>VLOOKUP(A236,'mid_split_Annual Sub Sale'!F:F,1,0)</f>
        <v>#N/A</v>
      </c>
    </row>
    <row r="237">
      <c r="A237" s="9">
        <v>438627.0</v>
      </c>
      <c r="B237" s="8" t="str">
        <f>VLOOKUP(A237,'mid_split_Annual Sub Sale'!F:F,1,0)</f>
        <v>#N/A</v>
      </c>
    </row>
    <row r="238">
      <c r="A238" s="9">
        <v>456474.0</v>
      </c>
      <c r="B238" s="8" t="str">
        <f>VLOOKUP(A238,'mid_split_Annual Sub Sale'!F:F,1,0)</f>
        <v>#N/A</v>
      </c>
    </row>
    <row r="239">
      <c r="A239" s="9">
        <v>476220.0</v>
      </c>
      <c r="B239" s="8" t="str">
        <f>VLOOKUP(A239,'mid_split_Annual Sub Sale'!F:F,1,0)</f>
        <v>#N/A</v>
      </c>
    </row>
    <row r="240">
      <c r="A240" s="9">
        <v>401043.0</v>
      </c>
      <c r="B240" s="8" t="str">
        <f>VLOOKUP(A240,'mid_split_Annual Sub Sale'!F:F,1,0)</f>
        <v>#N/A</v>
      </c>
    </row>
    <row r="241" hidden="1">
      <c r="A241" s="9">
        <v>466991.0</v>
      </c>
      <c r="B241" s="8" t="str">
        <f>VLOOKUP(A241,'mid_split_Annual Sub Sale'!F:F,1,0)</f>
        <v>#N/A</v>
      </c>
    </row>
    <row r="242">
      <c r="A242" s="9">
        <v>482811.0</v>
      </c>
      <c r="B242" s="8" t="str">
        <f>VLOOKUP(A242,'mid_split_Annual Sub Sale'!F:F,1,0)</f>
        <v>#N/A</v>
      </c>
    </row>
    <row r="243">
      <c r="A243" s="9">
        <v>485628.0</v>
      </c>
      <c r="B243" s="8" t="str">
        <f>VLOOKUP(A243,'mid_split_Annual Sub Sale'!F:F,1,0)</f>
        <v>#N/A</v>
      </c>
    </row>
    <row r="244">
      <c r="A244" s="9">
        <v>431406.0</v>
      </c>
      <c r="B244" s="8" t="str">
        <f>VLOOKUP(A244,'mid_split_Annual Sub Sale'!F:F,1,0)</f>
        <v>#N/A</v>
      </c>
    </row>
    <row r="245">
      <c r="A245" s="9">
        <v>497019.0</v>
      </c>
      <c r="B245" s="8" t="str">
        <f>VLOOKUP(A245,'mid_split_Annual Sub Sale'!F:F,1,0)</f>
        <v>#N/A</v>
      </c>
    </row>
    <row r="246">
      <c r="A246" s="9">
        <v>458044.0</v>
      </c>
      <c r="B246" s="8" t="str">
        <f>VLOOKUP(A246,'mid_split_Annual Sub Sale'!F:F,1,0)</f>
        <v>#N/A</v>
      </c>
    </row>
    <row r="247">
      <c r="A247" s="9">
        <v>447564.0</v>
      </c>
      <c r="B247" s="8" t="str">
        <f>VLOOKUP(A247,'mid_split_Annual Sub Sale'!F:F,1,0)</f>
        <v>#N/A</v>
      </c>
    </row>
    <row r="248">
      <c r="A248" s="9">
        <v>453744.0</v>
      </c>
      <c r="B248" s="8" t="str">
        <f>VLOOKUP(A248,'mid_split_Annual Sub Sale'!F:F,1,0)</f>
        <v>#N/A</v>
      </c>
    </row>
    <row r="249">
      <c r="A249" s="9">
        <v>456479.0</v>
      </c>
      <c r="B249" s="8" t="str">
        <f>VLOOKUP(A249,'mid_split_Annual Sub Sale'!F:F,1,0)</f>
        <v>#N/A</v>
      </c>
    </row>
    <row r="250">
      <c r="A250" s="9">
        <v>413889.0</v>
      </c>
      <c r="B250" s="8" t="str">
        <f>VLOOKUP(A250,'mid_split_Annual Sub Sale'!F:F,1,0)</f>
        <v>#N/A</v>
      </c>
    </row>
    <row r="251">
      <c r="A251" s="9">
        <v>426752.0</v>
      </c>
      <c r="B251" s="8" t="str">
        <f>VLOOKUP(A251,'mid_split_Annual Sub Sale'!F:F,1,0)</f>
        <v>#N/A</v>
      </c>
    </row>
    <row r="252">
      <c r="A252" s="9">
        <v>464278.0</v>
      </c>
      <c r="B252" s="8" t="str">
        <f>VLOOKUP(A252,'mid_split_Annual Sub Sale'!F:F,1,0)</f>
        <v>#N/A</v>
      </c>
    </row>
    <row r="253">
      <c r="A253" s="9">
        <v>457247.0</v>
      </c>
      <c r="B253" s="8" t="str">
        <f>VLOOKUP(A253,'mid_split_Annual Sub Sale'!F:F,1,0)</f>
        <v>#N/A</v>
      </c>
    </row>
    <row r="254">
      <c r="A254" s="9">
        <v>446618.0</v>
      </c>
      <c r="B254" s="8" t="str">
        <f>VLOOKUP(A254,'mid_split_Annual Sub Sale'!F:F,1,0)</f>
        <v>#N/A</v>
      </c>
    </row>
    <row r="255">
      <c r="A255" s="9">
        <v>497943.0</v>
      </c>
      <c r="B255" s="8" t="str">
        <f>VLOOKUP(A255,'mid_split_Annual Sub Sale'!F:F,1,0)</f>
        <v>#N/A</v>
      </c>
    </row>
    <row r="256">
      <c r="A256" s="9">
        <v>419047.0</v>
      </c>
      <c r="B256" s="8" t="str">
        <f>VLOOKUP(A256,'mid_split_Annual Sub Sale'!F:F,1,0)</f>
        <v>#N/A</v>
      </c>
    </row>
    <row r="257">
      <c r="A257" s="9">
        <v>453704.0</v>
      </c>
      <c r="B257" s="8" t="str">
        <f>VLOOKUP(A257,'mid_split_Annual Sub Sale'!F:F,1,0)</f>
        <v>#N/A</v>
      </c>
    </row>
    <row r="258">
      <c r="A258" s="9">
        <v>422211.0</v>
      </c>
      <c r="B258" s="8" t="str">
        <f>VLOOKUP(A258,'mid_split_Annual Sub Sale'!F:F,1,0)</f>
        <v>#N/A</v>
      </c>
    </row>
    <row r="259">
      <c r="A259" s="9">
        <v>453988.0</v>
      </c>
      <c r="B259" s="8" t="str">
        <f>VLOOKUP(A259,'mid_split_Annual Sub Sale'!F:F,1,0)</f>
        <v>#N/A</v>
      </c>
    </row>
    <row r="260">
      <c r="A260" s="9">
        <v>491235.0</v>
      </c>
      <c r="B260" s="8" t="str">
        <f>VLOOKUP(A260,'mid_split_Annual Sub Sale'!F:F,1,0)</f>
        <v>#N/A</v>
      </c>
    </row>
    <row r="261">
      <c r="A261" s="9">
        <v>454495.0</v>
      </c>
      <c r="B261" s="8" t="str">
        <f>VLOOKUP(A261,'mid_split_Annual Sub Sale'!F:F,1,0)</f>
        <v>#N/A</v>
      </c>
    </row>
    <row r="262">
      <c r="A262" s="9">
        <v>455396.0</v>
      </c>
      <c r="B262" s="8" t="str">
        <f>VLOOKUP(A262,'mid_split_Annual Sub Sale'!F:F,1,0)</f>
        <v>#N/A</v>
      </c>
    </row>
    <row r="263">
      <c r="A263" s="9">
        <v>402944.0</v>
      </c>
      <c r="B263" s="8" t="str">
        <f>VLOOKUP(A263,'mid_split_Annual Sub Sale'!F:F,1,0)</f>
        <v>#N/A</v>
      </c>
    </row>
    <row r="264">
      <c r="A264" s="9">
        <v>415001.0</v>
      </c>
      <c r="B264" s="8" t="str">
        <f>VLOOKUP(A264,'mid_split_Annual Sub Sale'!F:F,1,0)</f>
        <v>#N/A</v>
      </c>
    </row>
    <row r="265">
      <c r="A265" s="9">
        <v>424201.0</v>
      </c>
      <c r="B265" s="8" t="str">
        <f>VLOOKUP(A265,'mid_split_Annual Sub Sale'!F:F,1,0)</f>
        <v>#N/A</v>
      </c>
    </row>
    <row r="266">
      <c r="A266" s="9">
        <v>482914.0</v>
      </c>
      <c r="B266" s="8" t="str">
        <f>VLOOKUP(A266,'mid_split_Annual Sub Sale'!F:F,1,0)</f>
        <v>#N/A</v>
      </c>
    </row>
    <row r="267">
      <c r="A267" s="9">
        <v>433597.0</v>
      </c>
      <c r="B267" s="8" t="str">
        <f>VLOOKUP(A267,'mid_split_Annual Sub Sale'!F:F,1,0)</f>
        <v>#N/A</v>
      </c>
    </row>
    <row r="268">
      <c r="A268" s="9">
        <v>485097.0</v>
      </c>
      <c r="B268" s="8" t="str">
        <f>VLOOKUP(A268,'mid_split_Annual Sub Sale'!F:F,1,0)</f>
        <v>#N/A</v>
      </c>
    </row>
    <row r="269">
      <c r="A269" s="9">
        <v>443084.0</v>
      </c>
      <c r="B269" s="8" t="str">
        <f>VLOOKUP(A269,'mid_split_Annual Sub Sale'!F:F,1,0)</f>
        <v>#N/A</v>
      </c>
    </row>
    <row r="270">
      <c r="A270" s="9">
        <v>481001.0</v>
      </c>
      <c r="B270" s="8" t="str">
        <f>VLOOKUP(A270,'mid_split_Annual Sub Sale'!F:F,1,0)</f>
        <v>#N/A</v>
      </c>
    </row>
    <row r="271">
      <c r="A271" s="9">
        <v>457123.0</v>
      </c>
      <c r="B271" s="8" t="str">
        <f>VLOOKUP(A271,'mid_split_Annual Sub Sale'!F:F,1,0)</f>
        <v>#N/A</v>
      </c>
    </row>
    <row r="272">
      <c r="A272" s="9">
        <v>492556.0</v>
      </c>
      <c r="B272" s="8" t="str">
        <f>VLOOKUP(A272,'mid_split_Annual Sub Sale'!F:F,1,0)</f>
        <v>#N/A</v>
      </c>
    </row>
    <row r="273">
      <c r="A273" s="9">
        <v>478734.0</v>
      </c>
      <c r="B273" s="8" t="str">
        <f>VLOOKUP(A273,'mid_split_Annual Sub Sale'!F:F,1,0)</f>
        <v>#N/A</v>
      </c>
    </row>
    <row r="274">
      <c r="A274" s="9">
        <v>453510.0</v>
      </c>
      <c r="B274" s="8" t="str">
        <f>VLOOKUP(A274,'mid_split_Annual Sub Sale'!F:F,1,0)</f>
        <v>#N/A</v>
      </c>
    </row>
    <row r="275">
      <c r="A275" s="9">
        <v>431661.0</v>
      </c>
      <c r="B275" s="8" t="str">
        <f>VLOOKUP(A275,'mid_split_Annual Sub Sale'!F:F,1,0)</f>
        <v>#N/A</v>
      </c>
    </row>
    <row r="276">
      <c r="A276" s="9">
        <v>447639.0</v>
      </c>
      <c r="B276" s="8" t="str">
        <f>VLOOKUP(A276,'mid_split_Annual Sub Sale'!F:F,1,0)</f>
        <v>#N/A</v>
      </c>
    </row>
    <row r="277">
      <c r="A277" s="9">
        <v>447404.0</v>
      </c>
      <c r="B277" s="8" t="str">
        <f>VLOOKUP(A277,'mid_split_Annual Sub Sale'!F:F,1,0)</f>
        <v>#N/A</v>
      </c>
    </row>
    <row r="278">
      <c r="A278" s="9">
        <v>423817.0</v>
      </c>
      <c r="B278" s="8" t="str">
        <f>VLOOKUP(A278,'mid_split_Annual Sub Sale'!F:F,1,0)</f>
        <v>#N/A</v>
      </c>
    </row>
    <row r="279">
      <c r="A279" s="9">
        <v>448775.0</v>
      </c>
      <c r="B279" s="8" t="str">
        <f>VLOOKUP(A279,'mid_split_Annual Sub Sale'!F:F,1,0)</f>
        <v>#N/A</v>
      </c>
    </row>
    <row r="280">
      <c r="A280" s="9">
        <v>426406.0</v>
      </c>
      <c r="B280" s="8" t="str">
        <f>VLOOKUP(A280,'mid_split_Annual Sub Sale'!F:F,1,0)</f>
        <v>#N/A</v>
      </c>
    </row>
    <row r="281">
      <c r="A281" s="9">
        <v>405610.0</v>
      </c>
      <c r="B281" s="8" t="str">
        <f>VLOOKUP(A281,'mid_split_Annual Sub Sale'!F:F,1,0)</f>
        <v>#N/A</v>
      </c>
    </row>
    <row r="282">
      <c r="A282" s="9">
        <v>476554.0</v>
      </c>
      <c r="B282" s="8" t="str">
        <f>VLOOKUP(A282,'mid_split_Annual Sub Sale'!F:F,1,0)</f>
        <v>#N/A</v>
      </c>
    </row>
    <row r="283">
      <c r="A283" s="9">
        <v>453747.0</v>
      </c>
      <c r="B283" s="8" t="str">
        <f>VLOOKUP(A283,'mid_split_Annual Sub Sale'!F:F,1,0)</f>
        <v>#N/A</v>
      </c>
    </row>
    <row r="284">
      <c r="A284" s="9">
        <v>431871.0</v>
      </c>
      <c r="B284" s="8" t="str">
        <f>VLOOKUP(A284,'mid_split_Annual Sub Sale'!F:F,1,0)</f>
        <v>#N/A</v>
      </c>
    </row>
    <row r="285" hidden="1">
      <c r="A285" s="9">
        <v>418505.0</v>
      </c>
      <c r="B285" s="8" t="str">
        <f>VLOOKUP(A285,'mid_split_Annual Sub Sale'!F:F,1,0)</f>
        <v>#N/A</v>
      </c>
    </row>
    <row r="286">
      <c r="A286" s="9">
        <v>425307.0</v>
      </c>
      <c r="B286" s="8" t="str">
        <f>VLOOKUP(A286,'mid_split_Annual Sub Sale'!F:F,1,0)</f>
        <v>#N/A</v>
      </c>
    </row>
    <row r="287">
      <c r="A287" s="9">
        <v>487038.0</v>
      </c>
      <c r="B287" s="8" t="str">
        <f>VLOOKUP(A287,'mid_split_Annual Sub Sale'!F:F,1,0)</f>
        <v>#N/A</v>
      </c>
    </row>
    <row r="288">
      <c r="A288" s="9">
        <v>434960.0</v>
      </c>
      <c r="B288" s="8" t="str">
        <f>VLOOKUP(A288,'mid_split_Annual Sub Sale'!F:F,1,0)</f>
        <v>#N/A</v>
      </c>
    </row>
    <row r="289">
      <c r="A289" s="9">
        <v>445990.0</v>
      </c>
      <c r="B289" s="8" t="str">
        <f>VLOOKUP(A289,'mid_split_Annual Sub Sale'!F:F,1,0)</f>
        <v>#N/A</v>
      </c>
    </row>
    <row r="290">
      <c r="A290" s="9">
        <v>422939.0</v>
      </c>
      <c r="B290" s="8" t="str">
        <f>VLOOKUP(A290,'mid_split_Annual Sub Sale'!F:F,1,0)</f>
        <v>#N/A</v>
      </c>
    </row>
    <row r="291">
      <c r="A291" s="9">
        <v>484783.0</v>
      </c>
      <c r="B291" s="8" t="str">
        <f>VLOOKUP(A291,'mid_split_Annual Sub Sale'!F:F,1,0)</f>
        <v>#N/A</v>
      </c>
    </row>
    <row r="292">
      <c r="A292" s="9">
        <v>402170.0</v>
      </c>
      <c r="B292" s="8" t="str">
        <f>VLOOKUP(A292,'mid_split_Annual Sub Sale'!F:F,1,0)</f>
        <v>#N/A</v>
      </c>
    </row>
    <row r="293">
      <c r="A293" s="9">
        <v>472776.0</v>
      </c>
      <c r="B293" s="8" t="str">
        <f>VLOOKUP(A293,'mid_split_Annual Sub Sale'!F:F,1,0)</f>
        <v>#N/A</v>
      </c>
    </row>
    <row r="294">
      <c r="A294" s="9">
        <v>416085.0</v>
      </c>
      <c r="B294" s="8" t="str">
        <f>VLOOKUP(A294,'mid_split_Annual Sub Sale'!F:F,1,0)</f>
        <v>#N/A</v>
      </c>
    </row>
    <row r="295">
      <c r="A295" s="9">
        <v>403057.0</v>
      </c>
      <c r="B295" s="8" t="str">
        <f>VLOOKUP(A295,'mid_split_Annual Sub Sale'!F:F,1,0)</f>
        <v>#N/A</v>
      </c>
    </row>
    <row r="296">
      <c r="A296" s="9">
        <v>415384.0</v>
      </c>
      <c r="B296" s="8" t="str">
        <f>VLOOKUP(A296,'mid_split_Annual Sub Sale'!F:F,1,0)</f>
        <v>#N/A</v>
      </c>
    </row>
    <row r="297">
      <c r="A297" s="9">
        <v>472678.0</v>
      </c>
      <c r="B297" s="8" t="str">
        <f>VLOOKUP(A297,'mid_split_Annual Sub Sale'!F:F,1,0)</f>
        <v>#N/A</v>
      </c>
    </row>
    <row r="298">
      <c r="A298" s="9">
        <v>415490.0</v>
      </c>
      <c r="B298" s="8" t="str">
        <f>VLOOKUP(A298,'mid_split_Annual Sub Sale'!F:F,1,0)</f>
        <v>#N/A</v>
      </c>
    </row>
    <row r="299">
      <c r="A299" s="9">
        <v>447642.0</v>
      </c>
      <c r="B299" s="8" t="str">
        <f>VLOOKUP(A299,'mid_split_Annual Sub Sale'!F:F,1,0)</f>
        <v>#N/A</v>
      </c>
    </row>
    <row r="300">
      <c r="A300" s="9">
        <v>453810.0</v>
      </c>
      <c r="B300" s="8" t="str">
        <f>VLOOKUP(A300,'mid_split_Annual Sub Sale'!F:F,1,0)</f>
        <v>#N/A</v>
      </c>
    </row>
    <row r="301">
      <c r="A301" s="9">
        <v>415726.0</v>
      </c>
      <c r="B301" s="8" t="str">
        <f>VLOOKUP(A301,'mid_split_Annual Sub Sale'!F:F,1,0)</f>
        <v>#N/A</v>
      </c>
    </row>
    <row r="302">
      <c r="A302" s="9">
        <v>454859.0</v>
      </c>
      <c r="B302" s="8" t="str">
        <f>VLOOKUP(A302,'mid_split_Annual Sub Sale'!F:F,1,0)</f>
        <v>#N/A</v>
      </c>
    </row>
    <row r="303">
      <c r="A303" s="9">
        <v>453986.0</v>
      </c>
      <c r="B303" s="8" t="str">
        <f>VLOOKUP(A303,'mid_split_Annual Sub Sale'!F:F,1,0)</f>
        <v>#N/A</v>
      </c>
    </row>
    <row r="304">
      <c r="A304" s="9">
        <v>462722.0</v>
      </c>
      <c r="B304" s="8" t="str">
        <f>VLOOKUP(A304,'mid_split_Annual Sub Sale'!F:F,1,0)</f>
        <v>#N/A</v>
      </c>
    </row>
    <row r="305">
      <c r="A305" s="9">
        <v>448232.0</v>
      </c>
      <c r="B305" s="8" t="str">
        <f>VLOOKUP(A305,'mid_split_Annual Sub Sale'!F:F,1,0)</f>
        <v>#N/A</v>
      </c>
    </row>
    <row r="306">
      <c r="A306" s="9">
        <v>457418.0</v>
      </c>
      <c r="B306" s="8" t="str">
        <f>VLOOKUP(A306,'mid_split_Annual Sub Sale'!F:F,1,0)</f>
        <v>#N/A</v>
      </c>
    </row>
    <row r="307">
      <c r="A307" s="9">
        <v>443431.0</v>
      </c>
      <c r="B307" s="8" t="str">
        <f>VLOOKUP(A307,'mid_split_Annual Sub Sale'!F:F,1,0)</f>
        <v>#N/A</v>
      </c>
    </row>
    <row r="308">
      <c r="A308" s="9">
        <v>454361.0</v>
      </c>
      <c r="B308" s="8" t="str">
        <f>VLOOKUP(A308,'mid_split_Annual Sub Sale'!F:F,1,0)</f>
        <v>#N/A</v>
      </c>
    </row>
    <row r="309">
      <c r="A309" s="9">
        <v>441802.0</v>
      </c>
      <c r="B309" s="8" t="str">
        <f>VLOOKUP(A309,'mid_split_Annual Sub Sale'!F:F,1,0)</f>
        <v>#N/A</v>
      </c>
    </row>
    <row r="310">
      <c r="A310" s="9">
        <v>457131.0</v>
      </c>
      <c r="B310" s="8" t="str">
        <f>VLOOKUP(A310,'mid_split_Annual Sub Sale'!F:F,1,0)</f>
        <v>#N/A</v>
      </c>
    </row>
    <row r="311">
      <c r="A311" s="9">
        <v>478076.0</v>
      </c>
      <c r="B311" s="8" t="str">
        <f>VLOOKUP(A311,'mid_split_Annual Sub Sale'!F:F,1,0)</f>
        <v>#N/A</v>
      </c>
    </row>
    <row r="312">
      <c r="A312" s="9">
        <v>483702.0</v>
      </c>
      <c r="B312" s="8" t="str">
        <f>VLOOKUP(A312,'mid_split_Annual Sub Sale'!F:F,1,0)</f>
        <v>#N/A</v>
      </c>
    </row>
    <row r="313" hidden="1">
      <c r="A313" s="9">
        <v>487471.0</v>
      </c>
      <c r="B313" s="8" t="str">
        <f>VLOOKUP(A313,'mid_split_Annual Sub Sale'!F:F,1,0)</f>
        <v>#N/A</v>
      </c>
    </row>
    <row r="314">
      <c r="A314" s="9">
        <v>492163.0</v>
      </c>
      <c r="B314" s="8" t="str">
        <f>VLOOKUP(A314,'mid_split_Annual Sub Sale'!F:F,1,0)</f>
        <v>#N/A</v>
      </c>
    </row>
    <row r="315">
      <c r="A315" s="9">
        <v>423044.0</v>
      </c>
      <c r="B315" s="8" t="str">
        <f>VLOOKUP(A315,'mid_split_Annual Sub Sale'!F:F,1,0)</f>
        <v>#N/A</v>
      </c>
    </row>
    <row r="316">
      <c r="A316" s="9">
        <v>443417.0</v>
      </c>
      <c r="B316" s="8" t="str">
        <f>VLOOKUP(A316,'mid_split_Annual Sub Sale'!F:F,1,0)</f>
        <v>#N/A</v>
      </c>
    </row>
    <row r="317">
      <c r="A317" s="9">
        <v>491785.0</v>
      </c>
      <c r="B317" s="8" t="str">
        <f>VLOOKUP(A317,'mid_split_Annual Sub Sale'!F:F,1,0)</f>
        <v>#N/A</v>
      </c>
    </row>
    <row r="318">
      <c r="A318" s="9">
        <v>440768.0</v>
      </c>
      <c r="B318" s="8" t="str">
        <f>VLOOKUP(A318,'mid_split_Annual Sub Sale'!F:F,1,0)</f>
        <v>#N/A</v>
      </c>
    </row>
    <row r="319">
      <c r="A319" s="9">
        <v>421778.0</v>
      </c>
      <c r="B319" s="8" t="str">
        <f>VLOOKUP(A319,'mid_split_Annual Sub Sale'!F:F,1,0)</f>
        <v>#N/A</v>
      </c>
    </row>
    <row r="320">
      <c r="A320" s="9">
        <v>454085.0</v>
      </c>
      <c r="B320" s="8" t="str">
        <f>VLOOKUP(A320,'mid_split_Annual Sub Sale'!F:F,1,0)</f>
        <v>#N/A</v>
      </c>
    </row>
    <row r="321">
      <c r="A321" s="9">
        <v>447305.0</v>
      </c>
      <c r="B321" s="8" t="str">
        <f>VLOOKUP(A321,'mid_split_Annual Sub Sale'!F:F,1,0)</f>
        <v>#N/A</v>
      </c>
    </row>
    <row r="322">
      <c r="A322" s="9">
        <v>443450.0</v>
      </c>
      <c r="B322" s="8" t="str">
        <f>VLOOKUP(A322,'mid_split_Annual Sub Sale'!F:F,1,0)</f>
        <v>#N/A</v>
      </c>
    </row>
    <row r="323">
      <c r="A323" s="9">
        <v>451344.0</v>
      </c>
      <c r="B323" s="8" t="str">
        <f>VLOOKUP(A323,'mid_split_Annual Sub Sale'!F:F,1,0)</f>
        <v>#N/A</v>
      </c>
    </row>
    <row r="324" hidden="1">
      <c r="A324" s="9">
        <v>425131.0</v>
      </c>
      <c r="B324" s="8" t="str">
        <f>VLOOKUP(A324,'mid_split_Annual Sub Sale'!F:F,1,0)</f>
        <v>#N/A</v>
      </c>
    </row>
    <row r="325">
      <c r="A325" s="9">
        <v>414932.0</v>
      </c>
      <c r="B325" s="8" t="str">
        <f>VLOOKUP(A325,'mid_split_Annual Sub Sale'!F:F,1,0)</f>
        <v>#N/A</v>
      </c>
    </row>
    <row r="326">
      <c r="A326" s="9">
        <v>456480.0</v>
      </c>
      <c r="B326" s="8" t="str">
        <f>VLOOKUP(A326,'mid_split_Annual Sub Sale'!F:F,1,0)</f>
        <v>#N/A</v>
      </c>
    </row>
    <row r="327">
      <c r="A327" s="9">
        <v>497762.0</v>
      </c>
      <c r="B327" s="8" t="str">
        <f>VLOOKUP(A327,'mid_split_Annual Sub Sale'!F:F,1,0)</f>
        <v>#N/A</v>
      </c>
    </row>
    <row r="328">
      <c r="A328" s="9">
        <v>489114.0</v>
      </c>
      <c r="B328" s="8" t="str">
        <f>VLOOKUP(A328,'mid_split_Annual Sub Sale'!F:F,1,0)</f>
        <v>#N/A</v>
      </c>
    </row>
    <row r="329">
      <c r="A329" s="9">
        <v>457144.0</v>
      </c>
      <c r="B329" s="8" t="str">
        <f>VLOOKUP(A329,'mid_split_Annual Sub Sale'!F:F,1,0)</f>
        <v>#N/A</v>
      </c>
    </row>
    <row r="330">
      <c r="A330" s="9">
        <v>456874.0</v>
      </c>
      <c r="B330" s="8" t="str">
        <f>VLOOKUP(A330,'mid_split_Annual Sub Sale'!F:F,1,0)</f>
        <v>#N/A</v>
      </c>
    </row>
    <row r="331">
      <c r="A331" s="9">
        <v>412421.0</v>
      </c>
      <c r="B331" s="8" t="str">
        <f>VLOOKUP(A331,'mid_split_Annual Sub Sale'!F:F,1,0)</f>
        <v>#N/A</v>
      </c>
    </row>
    <row r="332">
      <c r="A332" s="9">
        <v>466203.0</v>
      </c>
      <c r="B332" s="8" t="str">
        <f>VLOOKUP(A332,'mid_split_Annual Sub Sale'!F:F,1,0)</f>
        <v>#N/A</v>
      </c>
    </row>
    <row r="333">
      <c r="A333" s="9">
        <v>415560.0</v>
      </c>
      <c r="B333" s="8" t="str">
        <f>VLOOKUP(A333,'mid_split_Annual Sub Sale'!F:F,1,0)</f>
        <v>#N/A</v>
      </c>
    </row>
    <row r="334">
      <c r="A334" s="9">
        <v>455814.0</v>
      </c>
      <c r="B334" s="8" t="str">
        <f>VLOOKUP(A334,'mid_split_Annual Sub Sale'!F:F,1,0)</f>
        <v>#N/A</v>
      </c>
    </row>
    <row r="335">
      <c r="A335" s="9">
        <v>423731.0</v>
      </c>
      <c r="B335" s="8" t="str">
        <f>VLOOKUP(A335,'mid_split_Annual Sub Sale'!F:F,1,0)</f>
        <v>#N/A</v>
      </c>
    </row>
    <row r="336">
      <c r="A336" s="9">
        <v>476895.0</v>
      </c>
      <c r="B336" s="8" t="str">
        <f>VLOOKUP(A336,'mid_split_Annual Sub Sale'!F:F,1,0)</f>
        <v>#N/A</v>
      </c>
    </row>
    <row r="337">
      <c r="A337" s="9">
        <v>477975.0</v>
      </c>
      <c r="B337" s="8" t="str">
        <f>VLOOKUP(A337,'mid_split_Annual Sub Sale'!F:F,1,0)</f>
        <v>#N/A</v>
      </c>
    </row>
    <row r="338">
      <c r="A338" s="9">
        <v>474124.0</v>
      </c>
      <c r="B338" s="8" t="str">
        <f>VLOOKUP(A338,'mid_split_Annual Sub Sale'!F:F,1,0)</f>
        <v>#N/A</v>
      </c>
    </row>
    <row r="339">
      <c r="A339" s="9">
        <v>403632.0</v>
      </c>
      <c r="B339" s="8" t="str">
        <f>VLOOKUP(A339,'mid_split_Annual Sub Sale'!F:F,1,0)</f>
        <v>#N/A</v>
      </c>
    </row>
    <row r="340">
      <c r="A340" s="9">
        <v>445218.0</v>
      </c>
      <c r="B340" s="8" t="str">
        <f>VLOOKUP(A340,'mid_split_Annual Sub Sale'!F:F,1,0)</f>
        <v>#N/A</v>
      </c>
    </row>
    <row r="341">
      <c r="A341" s="9">
        <v>440215.0</v>
      </c>
      <c r="B341" s="8" t="str">
        <f>VLOOKUP(A341,'mid_split_Annual Sub Sale'!F:F,1,0)</f>
        <v>#N/A</v>
      </c>
    </row>
    <row r="342">
      <c r="A342" s="9">
        <v>440577.0</v>
      </c>
      <c r="B342" s="8" t="str">
        <f>VLOOKUP(A342,'mid_split_Annual Sub Sale'!F:F,1,0)</f>
        <v>#N/A</v>
      </c>
    </row>
    <row r="343">
      <c r="A343" s="9">
        <v>424912.0</v>
      </c>
      <c r="B343" s="8" t="str">
        <f>VLOOKUP(A343,'mid_split_Annual Sub Sale'!F:F,1,0)</f>
        <v>#N/A</v>
      </c>
    </row>
    <row r="344">
      <c r="A344" s="9">
        <v>496663.0</v>
      </c>
      <c r="B344" s="8" t="str">
        <f>VLOOKUP(A344,'mid_split_Annual Sub Sale'!F:F,1,0)</f>
        <v>#N/A</v>
      </c>
    </row>
    <row r="345">
      <c r="A345" s="9">
        <v>430605.0</v>
      </c>
      <c r="B345" s="8" t="str">
        <f>VLOOKUP(A345,'mid_split_Annual Sub Sale'!F:F,1,0)</f>
        <v>#N/A</v>
      </c>
    </row>
    <row r="346">
      <c r="A346" s="9">
        <v>426634.0</v>
      </c>
      <c r="B346" s="8" t="str">
        <f>VLOOKUP(A346,'mid_split_Annual Sub Sale'!F:F,1,0)</f>
        <v>#N/A</v>
      </c>
    </row>
    <row r="347">
      <c r="A347" s="9">
        <v>422957.0</v>
      </c>
      <c r="B347" s="8" t="str">
        <f>VLOOKUP(A347,'mid_split_Annual Sub Sale'!F:F,1,0)</f>
        <v>#N/A</v>
      </c>
    </row>
    <row r="348">
      <c r="A348" s="9">
        <v>482011.0</v>
      </c>
      <c r="B348" s="8" t="str">
        <f>VLOOKUP(A348,'mid_split_Annual Sub Sale'!F:F,1,0)</f>
        <v>#N/A</v>
      </c>
    </row>
    <row r="349">
      <c r="A349" s="9">
        <v>407204.0</v>
      </c>
      <c r="B349" s="8" t="str">
        <f>VLOOKUP(A349,'mid_split_Annual Sub Sale'!F:F,1,0)</f>
        <v>#N/A</v>
      </c>
    </row>
    <row r="350">
      <c r="A350" s="9">
        <v>491889.0</v>
      </c>
      <c r="B350" s="8" t="str">
        <f>VLOOKUP(A350,'mid_split_Annual Sub Sale'!F:F,1,0)</f>
        <v>#N/A</v>
      </c>
    </row>
    <row r="351">
      <c r="A351" s="9">
        <v>413916.0</v>
      </c>
      <c r="B351" s="8" t="str">
        <f>VLOOKUP(A351,'mid_split_Annual Sub Sale'!F:F,1,0)</f>
        <v>#N/A</v>
      </c>
    </row>
    <row r="352">
      <c r="A352" s="9">
        <v>467199.0</v>
      </c>
      <c r="B352" s="8" t="str">
        <f>VLOOKUP(A352,'mid_split_Annual Sub Sale'!F:F,1,0)</f>
        <v>#N/A</v>
      </c>
    </row>
    <row r="353">
      <c r="A353" s="9">
        <v>468013.0</v>
      </c>
      <c r="B353" s="8" t="str">
        <f>VLOOKUP(A353,'mid_split_Annual Sub Sale'!F:F,1,0)</f>
        <v>#N/A</v>
      </c>
    </row>
    <row r="354">
      <c r="A354" s="9">
        <v>408880.0</v>
      </c>
      <c r="B354" s="8" t="str">
        <f>VLOOKUP(A354,'mid_split_Annual Sub Sale'!F:F,1,0)</f>
        <v>#N/A</v>
      </c>
    </row>
    <row r="355">
      <c r="A355" s="9">
        <v>454407.0</v>
      </c>
      <c r="B355" s="8" t="str">
        <f>VLOOKUP(A355,'mid_split_Annual Sub Sale'!F:F,1,0)</f>
        <v>#N/A</v>
      </c>
    </row>
    <row r="356">
      <c r="A356" s="9">
        <v>426447.0</v>
      </c>
      <c r="B356" s="8" t="str">
        <f>VLOOKUP(A356,'mid_split_Annual Sub Sale'!F:F,1,0)</f>
        <v>#N/A</v>
      </c>
    </row>
    <row r="357">
      <c r="A357" s="9">
        <v>438605.0</v>
      </c>
      <c r="B357" s="8" t="str">
        <f>VLOOKUP(A357,'mid_split_Annual Sub Sale'!F:F,1,0)</f>
        <v>#N/A</v>
      </c>
    </row>
    <row r="358">
      <c r="A358" s="9">
        <v>427153.0</v>
      </c>
      <c r="B358" s="8" t="str">
        <f>VLOOKUP(A358,'mid_split_Annual Sub Sale'!F:F,1,0)</f>
        <v>#N/A</v>
      </c>
    </row>
    <row r="359">
      <c r="A359" s="9">
        <v>454312.0</v>
      </c>
      <c r="B359" s="8" t="str">
        <f>VLOOKUP(A359,'mid_split_Annual Sub Sale'!F:F,1,0)</f>
        <v>#N/A</v>
      </c>
    </row>
    <row r="360">
      <c r="A360" s="9">
        <v>463345.0</v>
      </c>
      <c r="B360" s="8" t="str">
        <f>VLOOKUP(A360,'mid_split_Annual Sub Sale'!F:F,1,0)</f>
        <v>#N/A</v>
      </c>
    </row>
    <row r="361">
      <c r="A361" s="9">
        <v>458003.0</v>
      </c>
      <c r="B361" s="8" t="str">
        <f>VLOOKUP(A361,'mid_split_Annual Sub Sale'!F:F,1,0)</f>
        <v>#N/A</v>
      </c>
    </row>
    <row r="362">
      <c r="A362" s="9">
        <v>446323.0</v>
      </c>
      <c r="B362" s="8" t="str">
        <f>VLOOKUP(A362,'mid_split_Annual Sub Sale'!F:F,1,0)</f>
        <v>#N/A</v>
      </c>
    </row>
    <row r="363">
      <c r="A363" s="9">
        <v>466271.0</v>
      </c>
      <c r="B363" s="8" t="str">
        <f>VLOOKUP(A363,'mid_split_Annual Sub Sale'!F:F,1,0)</f>
        <v>#N/A</v>
      </c>
    </row>
    <row r="364">
      <c r="A364" s="9">
        <v>486122.0</v>
      </c>
      <c r="B364" s="8" t="str">
        <f>VLOOKUP(A364,'mid_split_Annual Sub Sale'!F:F,1,0)</f>
        <v>#N/A</v>
      </c>
    </row>
    <row r="365">
      <c r="A365" s="9">
        <v>464808.0</v>
      </c>
      <c r="B365" s="8" t="str">
        <f>VLOOKUP(A365,'mid_split_Annual Sub Sale'!F:F,1,0)</f>
        <v>#N/A</v>
      </c>
    </row>
    <row r="366">
      <c r="A366" s="9">
        <v>480025.0</v>
      </c>
      <c r="B366" s="8" t="str">
        <f>VLOOKUP(A366,'mid_split_Annual Sub Sale'!F:F,1,0)</f>
        <v>#N/A</v>
      </c>
    </row>
    <row r="367">
      <c r="A367" s="9">
        <v>480312.0</v>
      </c>
      <c r="B367" s="8" t="str">
        <f>VLOOKUP(A367,'mid_split_Annual Sub Sale'!F:F,1,0)</f>
        <v>#N/A</v>
      </c>
    </row>
    <row r="368">
      <c r="A368" s="9">
        <v>438955.0</v>
      </c>
      <c r="B368" s="8" t="str">
        <f>VLOOKUP(A368,'mid_split_Annual Sub Sale'!F:F,1,0)</f>
        <v>#N/A</v>
      </c>
    </row>
    <row r="369">
      <c r="A369" s="9">
        <v>411810.0</v>
      </c>
      <c r="B369" s="8" t="str">
        <f>VLOOKUP(A369,'mid_split_Annual Sub Sale'!F:F,1,0)</f>
        <v>#N/A</v>
      </c>
    </row>
    <row r="370">
      <c r="A370" s="9">
        <v>421808.0</v>
      </c>
      <c r="B370" s="8" t="str">
        <f>VLOOKUP(A370,'mid_split_Annual Sub Sale'!F:F,1,0)</f>
        <v>#N/A</v>
      </c>
    </row>
    <row r="371">
      <c r="A371" s="9">
        <v>430893.0</v>
      </c>
      <c r="B371" s="8" t="str">
        <f>VLOOKUP(A371,'mid_split_Annual Sub Sale'!F:F,1,0)</f>
        <v>#N/A</v>
      </c>
    </row>
    <row r="372" hidden="1">
      <c r="A372" s="9">
        <v>438419.0</v>
      </c>
      <c r="B372" s="8" t="str">
        <f>VLOOKUP(A372,'mid_split_Annual Sub Sale'!F:F,1,0)</f>
        <v>#N/A</v>
      </c>
    </row>
    <row r="373">
      <c r="A373" s="9">
        <v>492119.0</v>
      </c>
      <c r="B373" s="8" t="str">
        <f>VLOOKUP(A373,'mid_split_Annual Sub Sale'!F:F,1,0)</f>
        <v>#N/A</v>
      </c>
    </row>
    <row r="374">
      <c r="A374" s="9">
        <v>402608.0</v>
      </c>
      <c r="B374" s="8" t="str">
        <f>VLOOKUP(A374,'mid_split_Annual Sub Sale'!F:F,1,0)</f>
        <v>#N/A</v>
      </c>
    </row>
    <row r="375">
      <c r="A375" s="9">
        <v>443405.0</v>
      </c>
      <c r="B375" s="8" t="str">
        <f>VLOOKUP(A375,'mid_split_Annual Sub Sale'!F:F,1,0)</f>
        <v>#N/A</v>
      </c>
    </row>
    <row r="376">
      <c r="A376" s="9">
        <v>476383.0</v>
      </c>
      <c r="B376" s="8" t="str">
        <f>VLOOKUP(A376,'mid_split_Annual Sub Sale'!F:F,1,0)</f>
        <v>#N/A</v>
      </c>
    </row>
    <row r="377">
      <c r="A377" s="9">
        <v>439878.0</v>
      </c>
      <c r="B377" s="8" t="str">
        <f>VLOOKUP(A377,'mid_split_Annual Sub Sale'!F:F,1,0)</f>
        <v>#N/A</v>
      </c>
    </row>
    <row r="378">
      <c r="A378" s="9">
        <v>443421.0</v>
      </c>
      <c r="B378" s="8" t="str">
        <f>VLOOKUP(A378,'mid_split_Annual Sub Sale'!F:F,1,0)</f>
        <v>#N/A</v>
      </c>
    </row>
    <row r="379">
      <c r="A379" s="9">
        <v>404014.0</v>
      </c>
      <c r="B379" s="8" t="str">
        <f>VLOOKUP(A379,'mid_split_Annual Sub Sale'!F:F,1,0)</f>
        <v>#N/A</v>
      </c>
    </row>
    <row r="380">
      <c r="A380" s="9">
        <v>415711.0</v>
      </c>
      <c r="B380" s="8" t="str">
        <f>VLOOKUP(A380,'mid_split_Annual Sub Sale'!F:F,1,0)</f>
        <v>#N/A</v>
      </c>
    </row>
    <row r="381">
      <c r="A381" s="9">
        <v>455843.0</v>
      </c>
      <c r="B381" s="8" t="str">
        <f>VLOOKUP(A381,'mid_split_Annual Sub Sale'!F:F,1,0)</f>
        <v>#N/A</v>
      </c>
    </row>
    <row r="382">
      <c r="A382" s="9">
        <v>497607.0</v>
      </c>
      <c r="B382" s="8" t="str">
        <f>VLOOKUP(A382,'mid_split_Annual Sub Sale'!F:F,1,0)</f>
        <v>#N/A</v>
      </c>
    </row>
    <row r="383">
      <c r="A383" s="9">
        <v>457143.0</v>
      </c>
      <c r="B383" s="8" t="str">
        <f>VLOOKUP(A383,'mid_split_Annual Sub Sale'!F:F,1,0)</f>
        <v>#N/A</v>
      </c>
    </row>
    <row r="384">
      <c r="A384" s="9">
        <v>415783.0</v>
      </c>
      <c r="B384" s="8" t="str">
        <f>VLOOKUP(A384,'mid_split_Annual Sub Sale'!F:F,1,0)</f>
        <v>#N/A</v>
      </c>
    </row>
    <row r="385">
      <c r="A385" s="9">
        <v>483203.0</v>
      </c>
      <c r="B385" s="8" t="str">
        <f>VLOOKUP(A385,'mid_split_Annual Sub Sale'!F:F,1,0)</f>
        <v>#N/A</v>
      </c>
    </row>
    <row r="386">
      <c r="A386" s="9">
        <v>439743.0</v>
      </c>
      <c r="B386" s="8" t="str">
        <f>VLOOKUP(A386,'mid_split_Annual Sub Sale'!F:F,1,0)</f>
        <v>#N/A</v>
      </c>
    </row>
    <row r="387">
      <c r="A387" s="9">
        <v>443252.0</v>
      </c>
      <c r="B387" s="8" t="str">
        <f>VLOOKUP(A387,'mid_split_Annual Sub Sale'!F:F,1,0)</f>
        <v>#N/A</v>
      </c>
    </row>
    <row r="388">
      <c r="A388" s="9">
        <v>419090.0</v>
      </c>
      <c r="B388" s="8" t="str">
        <f>VLOOKUP(A388,'mid_split_Annual Sub Sale'!F:F,1,0)</f>
        <v>#N/A</v>
      </c>
    </row>
    <row r="389">
      <c r="A389" s="9">
        <v>429616.0</v>
      </c>
      <c r="B389" s="8" t="str">
        <f>VLOOKUP(A389,'mid_split_Annual Sub Sale'!F:F,1,0)</f>
        <v>#N/A</v>
      </c>
    </row>
    <row r="390">
      <c r="A390" s="9">
        <v>491305.0</v>
      </c>
      <c r="B390" s="8" t="str">
        <f>VLOOKUP(A390,'mid_split_Annual Sub Sale'!F:F,1,0)</f>
        <v>#N/A</v>
      </c>
    </row>
    <row r="391">
      <c r="A391" s="9">
        <v>491832.0</v>
      </c>
      <c r="B391" s="8" t="str">
        <f>VLOOKUP(A391,'mid_split_Annual Sub Sale'!F:F,1,0)</f>
        <v>#N/A</v>
      </c>
    </row>
    <row r="392">
      <c r="A392" s="9">
        <v>481066.0</v>
      </c>
      <c r="B392" s="8" t="str">
        <f>VLOOKUP(A392,'mid_split_Annual Sub Sale'!F:F,1,0)</f>
        <v>#N/A</v>
      </c>
    </row>
    <row r="393">
      <c r="A393" s="9">
        <v>463719.0</v>
      </c>
      <c r="B393" s="8" t="str">
        <f>VLOOKUP(A393,'mid_split_Annual Sub Sale'!F:F,1,0)</f>
        <v>#N/A</v>
      </c>
    </row>
    <row r="394">
      <c r="A394" s="9">
        <v>441581.0</v>
      </c>
      <c r="B394" s="8" t="str">
        <f>VLOOKUP(A394,'mid_split_Annual Sub Sale'!F:F,1,0)</f>
        <v>#N/A</v>
      </c>
    </row>
    <row r="395">
      <c r="A395" s="9">
        <v>478662.0</v>
      </c>
      <c r="B395" s="8" t="str">
        <f>VLOOKUP(A395,'mid_split_Annual Sub Sale'!F:F,1,0)</f>
        <v>#N/A</v>
      </c>
    </row>
    <row r="396">
      <c r="A396" s="9">
        <v>459598.0</v>
      </c>
      <c r="B396" s="8" t="str">
        <f>VLOOKUP(A396,'mid_split_Annual Sub Sale'!F:F,1,0)</f>
        <v>#N/A</v>
      </c>
    </row>
    <row r="397">
      <c r="A397" s="9">
        <v>457108.0</v>
      </c>
      <c r="B397" s="8" t="str">
        <f>VLOOKUP(A397,'mid_split_Annual Sub Sale'!F:F,1,0)</f>
        <v>#N/A</v>
      </c>
    </row>
    <row r="398">
      <c r="A398" s="9">
        <v>443476.0</v>
      </c>
      <c r="B398" s="8" t="str">
        <f>VLOOKUP(A398,'mid_split_Annual Sub Sale'!F:F,1,0)</f>
        <v>#N/A</v>
      </c>
    </row>
    <row r="399">
      <c r="A399" s="9">
        <v>486897.0</v>
      </c>
      <c r="B399" s="8" t="str">
        <f>VLOOKUP(A399,'mid_split_Annual Sub Sale'!F:F,1,0)</f>
        <v>#N/A</v>
      </c>
    </row>
    <row r="400">
      <c r="A400" s="9">
        <v>487178.0</v>
      </c>
      <c r="B400" s="8" t="str">
        <f>VLOOKUP(A400,'mid_split_Annual Sub Sale'!F:F,1,0)</f>
        <v>#N/A</v>
      </c>
    </row>
    <row r="401">
      <c r="A401" s="9">
        <v>450198.0</v>
      </c>
      <c r="B401" s="8" t="str">
        <f>VLOOKUP(A401,'mid_split_Annual Sub Sale'!F:F,1,0)</f>
        <v>#N/A</v>
      </c>
    </row>
    <row r="402">
      <c r="A402" s="9">
        <v>455600.0</v>
      </c>
      <c r="B402" s="8" t="str">
        <f>VLOOKUP(A402,'mid_split_Annual Sub Sale'!F:F,1,0)</f>
        <v>#N/A</v>
      </c>
    </row>
    <row r="403">
      <c r="A403" s="9">
        <v>485442.0</v>
      </c>
      <c r="B403" s="8" t="str">
        <f>VLOOKUP(A403,'mid_split_Annual Sub Sale'!F:F,1,0)</f>
        <v>#N/A</v>
      </c>
    </row>
    <row r="404">
      <c r="A404" s="9">
        <v>473690.0</v>
      </c>
      <c r="B404" s="8" t="str">
        <f>VLOOKUP(A404,'mid_split_Annual Sub Sale'!F:F,1,0)</f>
        <v>#N/A</v>
      </c>
    </row>
    <row r="405">
      <c r="A405" s="9">
        <v>481153.0</v>
      </c>
      <c r="B405" s="8" t="str">
        <f>VLOOKUP(A405,'mid_split_Annual Sub Sale'!F:F,1,0)</f>
        <v>#N/A</v>
      </c>
    </row>
    <row r="406">
      <c r="A406" s="9">
        <v>475405.0</v>
      </c>
      <c r="B406" s="8" t="str">
        <f>VLOOKUP(A406,'mid_split_Annual Sub Sale'!F:F,1,0)</f>
        <v>#N/A</v>
      </c>
    </row>
    <row r="407">
      <c r="A407" s="9">
        <v>437863.0</v>
      </c>
      <c r="B407" s="8" t="str">
        <f>VLOOKUP(A407,'mid_split_Annual Sub Sale'!F:F,1,0)</f>
        <v>#N/A</v>
      </c>
    </row>
    <row r="408">
      <c r="A408" s="9">
        <v>457124.0</v>
      </c>
      <c r="B408" s="8" t="str">
        <f>VLOOKUP(A408,'mid_split_Annual Sub Sale'!F:F,1,0)</f>
        <v>#N/A</v>
      </c>
    </row>
    <row r="409" hidden="1">
      <c r="A409" s="9">
        <v>464455.0</v>
      </c>
      <c r="B409" s="8" t="str">
        <f>VLOOKUP(A409,'mid_split_Annual Sub Sale'!F:F,1,0)</f>
        <v>#N/A</v>
      </c>
    </row>
    <row r="410">
      <c r="A410" s="9">
        <v>490836.0</v>
      </c>
      <c r="B410" s="8" t="str">
        <f>VLOOKUP(A410,'mid_split_Annual Sub Sale'!F:F,1,0)</f>
        <v>#N/A</v>
      </c>
    </row>
    <row r="411">
      <c r="A411" s="9">
        <v>432653.0</v>
      </c>
      <c r="B411" s="8" t="str">
        <f>VLOOKUP(A411,'mid_split_Annual Sub Sale'!F:F,1,0)</f>
        <v>#N/A</v>
      </c>
    </row>
    <row r="412">
      <c r="A412" s="9">
        <v>478812.0</v>
      </c>
      <c r="B412" s="8" t="str">
        <f>VLOOKUP(A412,'mid_split_Annual Sub Sale'!F:F,1,0)</f>
        <v>#N/A</v>
      </c>
    </row>
    <row r="413">
      <c r="A413" s="9">
        <v>407981.0</v>
      </c>
      <c r="B413" s="8" t="str">
        <f>VLOOKUP(A413,'mid_split_Annual Sub Sale'!F:F,1,0)</f>
        <v>#N/A</v>
      </c>
    </row>
    <row r="414">
      <c r="A414" s="9">
        <v>400231.0</v>
      </c>
      <c r="B414" s="8" t="str">
        <f>VLOOKUP(A414,'mid_split_Annual Sub Sale'!F:F,1,0)</f>
        <v>#N/A</v>
      </c>
    </row>
    <row r="415">
      <c r="A415" s="9">
        <v>462406.0</v>
      </c>
      <c r="B415" s="8" t="str">
        <f>VLOOKUP(A415,'mid_split_Annual Sub Sale'!F:F,1,0)</f>
        <v>#N/A</v>
      </c>
    </row>
    <row r="416">
      <c r="A416" s="9">
        <v>411591.0</v>
      </c>
      <c r="B416" s="8" t="str">
        <f>VLOOKUP(A416,'mid_split_Annual Sub Sale'!F:F,1,0)</f>
        <v>#N/A</v>
      </c>
    </row>
    <row r="417">
      <c r="A417" s="9">
        <v>413499.0</v>
      </c>
      <c r="B417" s="8" t="str">
        <f>VLOOKUP(A417,'mid_split_Annual Sub Sale'!F:F,1,0)</f>
        <v>#N/A</v>
      </c>
    </row>
    <row r="418">
      <c r="A418" s="9">
        <v>454818.0</v>
      </c>
      <c r="B418" s="8" t="str">
        <f>VLOOKUP(A418,'mid_split_Annual Sub Sale'!F:F,1,0)</f>
        <v>#N/A</v>
      </c>
    </row>
    <row r="419">
      <c r="A419" s="9">
        <v>446325.0</v>
      </c>
      <c r="B419" s="8" t="str">
        <f>VLOOKUP(A419,'mid_split_Annual Sub Sale'!F:F,1,0)</f>
        <v>#N/A</v>
      </c>
    </row>
    <row r="420">
      <c r="A420" s="9">
        <v>423905.0</v>
      </c>
      <c r="B420" s="8" t="str">
        <f>VLOOKUP(A420,'mid_split_Annual Sub Sale'!F:F,1,0)</f>
        <v>#N/A</v>
      </c>
    </row>
    <row r="421">
      <c r="A421" s="9">
        <v>435547.0</v>
      </c>
      <c r="B421" s="8" t="str">
        <f>VLOOKUP(A421,'mid_split_Annual Sub Sale'!F:F,1,0)</f>
        <v>#N/A</v>
      </c>
    </row>
    <row r="422">
      <c r="A422" s="9">
        <v>460203.0</v>
      </c>
      <c r="B422" s="8" t="str">
        <f>VLOOKUP(A422,'mid_split_Annual Sub Sale'!F:F,1,0)</f>
        <v>#N/A</v>
      </c>
    </row>
    <row r="423">
      <c r="A423" s="9">
        <v>455873.0</v>
      </c>
      <c r="B423" s="8" t="str">
        <f>VLOOKUP(A423,'mid_split_Annual Sub Sale'!F:F,1,0)</f>
        <v>#N/A</v>
      </c>
    </row>
    <row r="424">
      <c r="A424" s="9">
        <v>476326.0</v>
      </c>
      <c r="B424" s="8" t="str">
        <f>VLOOKUP(A424,'mid_split_Annual Sub Sale'!F:F,1,0)</f>
        <v>#N/A</v>
      </c>
    </row>
    <row r="425">
      <c r="A425" s="9">
        <v>431313.0</v>
      </c>
      <c r="B425" s="8" t="str">
        <f>VLOOKUP(A425,'mid_split_Annual Sub Sale'!F:F,1,0)</f>
        <v>#N/A</v>
      </c>
    </row>
    <row r="426">
      <c r="A426" s="9">
        <v>429321.0</v>
      </c>
      <c r="B426" s="8" t="str">
        <f>VLOOKUP(A426,'mid_split_Annual Sub Sale'!F:F,1,0)</f>
        <v>#N/A</v>
      </c>
    </row>
    <row r="427">
      <c r="A427" s="9">
        <v>458012.0</v>
      </c>
      <c r="B427" s="8" t="str">
        <f>VLOOKUP(A427,'mid_split_Annual Sub Sale'!F:F,1,0)</f>
        <v>#N/A</v>
      </c>
    </row>
    <row r="428">
      <c r="A428" s="9">
        <v>400177.0</v>
      </c>
      <c r="B428" s="8" t="str">
        <f>VLOOKUP(A428,'mid_split_Annual Sub Sale'!F:F,1,0)</f>
        <v>#N/A</v>
      </c>
    </row>
    <row r="429">
      <c r="A429" s="9">
        <v>447595.0</v>
      </c>
      <c r="B429" s="8" t="str">
        <f>VLOOKUP(A429,'mid_split_Annual Sub Sale'!F:F,1,0)</f>
        <v>#N/A</v>
      </c>
    </row>
    <row r="430">
      <c r="A430" s="9">
        <v>413196.0</v>
      </c>
      <c r="B430" s="8" t="str">
        <f>VLOOKUP(A430,'mid_split_Annual Sub Sale'!F:F,1,0)</f>
        <v>#N/A</v>
      </c>
    </row>
    <row r="431">
      <c r="A431" s="9">
        <v>447618.0</v>
      </c>
      <c r="B431" s="8" t="str">
        <f>VLOOKUP(A431,'mid_split_Annual Sub Sale'!F:F,1,0)</f>
        <v>#N/A</v>
      </c>
    </row>
    <row r="432">
      <c r="A432" s="9">
        <v>460312.0</v>
      </c>
      <c r="B432" s="8" t="str">
        <f>VLOOKUP(A432,'mid_split_Annual Sub Sale'!F:F,1,0)</f>
        <v>#N/A</v>
      </c>
    </row>
    <row r="433">
      <c r="A433" s="9">
        <v>406632.0</v>
      </c>
      <c r="B433" s="8" t="str">
        <f>VLOOKUP(A433,'mid_split_Annual Sub Sale'!F:F,1,0)</f>
        <v>#N/A</v>
      </c>
    </row>
    <row r="434">
      <c r="A434" s="9">
        <v>474680.0</v>
      </c>
      <c r="B434" s="8" t="str">
        <f>VLOOKUP(A434,'mid_split_Annual Sub Sale'!F:F,1,0)</f>
        <v>#N/A</v>
      </c>
    </row>
    <row r="435">
      <c r="A435" s="9">
        <v>466286.0</v>
      </c>
      <c r="B435" s="8" t="str">
        <f>VLOOKUP(A435,'mid_split_Annual Sub Sale'!F:F,1,0)</f>
        <v>#N/A</v>
      </c>
    </row>
    <row r="436">
      <c r="A436" s="9">
        <v>465064.0</v>
      </c>
      <c r="B436" s="8" t="str">
        <f>VLOOKUP(A436,'mid_split_Annual Sub Sale'!F:F,1,0)</f>
        <v>#N/A</v>
      </c>
    </row>
    <row r="437">
      <c r="A437" s="9">
        <v>438915.0</v>
      </c>
      <c r="B437" s="8" t="str">
        <f>VLOOKUP(A437,'mid_split_Annual Sub Sale'!F:F,1,0)</f>
        <v>#N/A</v>
      </c>
    </row>
    <row r="438">
      <c r="A438" s="9">
        <v>411232.0</v>
      </c>
      <c r="B438" s="8" t="str">
        <f>VLOOKUP(A438,'mid_split_Annual Sub Sale'!F:F,1,0)</f>
        <v>#N/A</v>
      </c>
    </row>
    <row r="439">
      <c r="A439" s="9">
        <v>413910.0</v>
      </c>
      <c r="B439" s="8" t="str">
        <f>VLOOKUP(A439,'mid_split_Annual Sub Sale'!F:F,1,0)</f>
        <v>#N/A</v>
      </c>
    </row>
    <row r="440">
      <c r="A440" s="9">
        <v>450868.0</v>
      </c>
      <c r="B440" s="8" t="str">
        <f>VLOOKUP(A440,'mid_split_Annual Sub Sale'!F:F,1,0)</f>
        <v>#N/A</v>
      </c>
    </row>
    <row r="441">
      <c r="A441" s="9">
        <v>490136.0</v>
      </c>
      <c r="B441" s="8" t="str">
        <f>VLOOKUP(A441,'mid_split_Annual Sub Sale'!F:F,1,0)</f>
        <v>#N/A</v>
      </c>
    </row>
    <row r="442">
      <c r="A442" s="9">
        <v>491257.0</v>
      </c>
      <c r="B442" s="8" t="str">
        <f>VLOOKUP(A442,'mid_split_Annual Sub Sale'!F:F,1,0)</f>
        <v>#N/A</v>
      </c>
    </row>
    <row r="443">
      <c r="A443" s="9">
        <v>478466.0</v>
      </c>
      <c r="B443" s="8" t="str">
        <f>VLOOKUP(A443,'mid_split_Annual Sub Sale'!F:F,1,0)</f>
        <v>#N/A</v>
      </c>
    </row>
    <row r="444">
      <c r="A444" s="9">
        <v>472304.0</v>
      </c>
      <c r="B444" s="8" t="str">
        <f>VLOOKUP(A444,'mid_split_Annual Sub Sale'!F:F,1,0)</f>
        <v>#N/A</v>
      </c>
    </row>
    <row r="445">
      <c r="A445" s="9">
        <v>421091.0</v>
      </c>
      <c r="B445" s="8" t="str">
        <f>VLOOKUP(A445,'mid_split_Annual Sub Sale'!F:F,1,0)</f>
        <v>#N/A</v>
      </c>
    </row>
    <row r="446">
      <c r="A446" s="9">
        <v>406317.0</v>
      </c>
      <c r="B446" s="8" t="str">
        <f>VLOOKUP(A446,'mid_split_Annual Sub Sale'!F:F,1,0)</f>
        <v>#N/A</v>
      </c>
    </row>
    <row r="447">
      <c r="A447" s="9">
        <v>412777.0</v>
      </c>
      <c r="B447" s="8" t="str">
        <f>VLOOKUP(A447,'mid_split_Annual Sub Sale'!F:F,1,0)</f>
        <v>#N/A</v>
      </c>
    </row>
    <row r="448">
      <c r="A448" s="9">
        <v>405785.0</v>
      </c>
      <c r="B448" s="8" t="str">
        <f>VLOOKUP(A448,'mid_split_Annual Sub Sale'!F:F,1,0)</f>
        <v>#N/A</v>
      </c>
    </row>
    <row r="449">
      <c r="A449" s="9">
        <v>449787.0</v>
      </c>
      <c r="B449" s="8" t="str">
        <f>VLOOKUP(A449,'mid_split_Annual Sub Sale'!F:F,1,0)</f>
        <v>#N/A</v>
      </c>
    </row>
    <row r="450">
      <c r="A450" s="9">
        <v>454360.0</v>
      </c>
      <c r="B450" s="8" t="str">
        <f>VLOOKUP(A450,'mid_split_Annual Sub Sale'!F:F,1,0)</f>
        <v>#N/A</v>
      </c>
    </row>
    <row r="451">
      <c r="A451" s="9">
        <v>465932.0</v>
      </c>
      <c r="B451" s="8" t="str">
        <f>VLOOKUP(A451,'mid_split_Annual Sub Sale'!F:F,1,0)</f>
        <v>#N/A</v>
      </c>
    </row>
    <row r="452">
      <c r="A452" s="9">
        <v>468840.0</v>
      </c>
      <c r="B452" s="8" t="str">
        <f>VLOOKUP(A452,'mid_split_Annual Sub Sale'!F:F,1,0)</f>
        <v>#N/A</v>
      </c>
    </row>
    <row r="453">
      <c r="A453" s="9">
        <v>497171.0</v>
      </c>
      <c r="B453" s="8" t="str">
        <f>VLOOKUP(A453,'mid_split_Annual Sub Sale'!F:F,1,0)</f>
        <v>#N/A</v>
      </c>
    </row>
    <row r="454">
      <c r="A454" s="9">
        <v>446552.0</v>
      </c>
      <c r="B454" s="8" t="str">
        <f>VLOOKUP(A454,'mid_split_Annual Sub Sale'!F:F,1,0)</f>
        <v>#N/A</v>
      </c>
    </row>
    <row r="455">
      <c r="A455" s="9">
        <v>493713.0</v>
      </c>
      <c r="B455" s="8" t="str">
        <f>VLOOKUP(A455,'mid_split_Annual Sub Sale'!F:F,1,0)</f>
        <v>#N/A</v>
      </c>
    </row>
    <row r="456">
      <c r="A456" s="9">
        <v>435336.0</v>
      </c>
      <c r="B456" s="8" t="str">
        <f>VLOOKUP(A456,'mid_split_Annual Sub Sale'!F:F,1,0)</f>
        <v>#N/A</v>
      </c>
    </row>
    <row r="457">
      <c r="A457" s="9">
        <v>475607.0</v>
      </c>
      <c r="B457" s="8" t="str">
        <f>VLOOKUP(A457,'mid_split_Annual Sub Sale'!F:F,1,0)</f>
        <v>#N/A</v>
      </c>
    </row>
    <row r="458">
      <c r="A458" s="9">
        <v>457177.0</v>
      </c>
      <c r="B458" s="8" t="str">
        <f>VLOOKUP(A458,'mid_split_Annual Sub Sale'!F:F,1,0)</f>
        <v>#N/A</v>
      </c>
    </row>
    <row r="459">
      <c r="A459" s="9">
        <v>447588.0</v>
      </c>
      <c r="B459" s="8" t="str">
        <f>VLOOKUP(A459,'mid_split_Annual Sub Sale'!F:F,1,0)</f>
        <v>#N/A</v>
      </c>
    </row>
    <row r="460">
      <c r="A460" s="9">
        <v>448034.0</v>
      </c>
      <c r="B460" s="8" t="str">
        <f>VLOOKUP(A460,'mid_split_Annual Sub Sale'!F:F,1,0)</f>
        <v>#N/A</v>
      </c>
    </row>
    <row r="461">
      <c r="A461" s="9">
        <v>493414.0</v>
      </c>
      <c r="B461" s="8" t="str">
        <f>VLOOKUP(A461,'mid_split_Annual Sub Sale'!F:F,1,0)</f>
        <v>#N/A</v>
      </c>
    </row>
    <row r="462">
      <c r="A462" s="9">
        <v>481169.0</v>
      </c>
      <c r="B462" s="8" t="str">
        <f>VLOOKUP(A462,'mid_split_Annual Sub Sale'!F:F,1,0)</f>
        <v>#N/A</v>
      </c>
    </row>
    <row r="463">
      <c r="A463" s="9">
        <v>457121.0</v>
      </c>
      <c r="B463" s="8" t="str">
        <f>VLOOKUP(A463,'mid_split_Annual Sub Sale'!F:F,1,0)</f>
        <v>#N/A</v>
      </c>
    </row>
    <row r="464">
      <c r="A464" s="9">
        <v>491239.0</v>
      </c>
      <c r="B464" s="8" t="str">
        <f>VLOOKUP(A464,'mid_split_Annual Sub Sale'!F:F,1,0)</f>
        <v>#N/A</v>
      </c>
    </row>
    <row r="465">
      <c r="A465" s="9">
        <v>497408.0</v>
      </c>
      <c r="B465" s="8" t="str">
        <f>VLOOKUP(A465,'mid_split_Annual Sub Sale'!F:F,1,0)</f>
        <v>#N/A</v>
      </c>
    </row>
    <row r="466">
      <c r="A466" s="9">
        <v>418953.0</v>
      </c>
      <c r="B466" s="8" t="str">
        <f>VLOOKUP(A466,'mid_split_Annual Sub Sale'!F:F,1,0)</f>
        <v>#N/A</v>
      </c>
    </row>
    <row r="467">
      <c r="A467" s="9">
        <v>414750.0</v>
      </c>
      <c r="B467" s="8" t="str">
        <f>VLOOKUP(A467,'mid_split_Annual Sub Sale'!F:F,1,0)</f>
        <v>#N/A</v>
      </c>
    </row>
    <row r="468">
      <c r="A468" s="9">
        <v>448210.0</v>
      </c>
      <c r="B468" s="8" t="str">
        <f>VLOOKUP(A468,'mid_split_Annual Sub Sale'!F:F,1,0)</f>
        <v>#N/A</v>
      </c>
    </row>
    <row r="469">
      <c r="A469" s="9">
        <v>467401.0</v>
      </c>
      <c r="B469" s="8" t="str">
        <f>VLOOKUP(A469,'mid_split_Annual Sub Sale'!F:F,1,0)</f>
        <v>#N/A</v>
      </c>
    </row>
    <row r="470">
      <c r="A470" s="9">
        <v>405537.0</v>
      </c>
      <c r="B470" s="8" t="str">
        <f>VLOOKUP(A470,'mid_split_Annual Sub Sale'!F:F,1,0)</f>
        <v>#N/A</v>
      </c>
    </row>
    <row r="471">
      <c r="A471" s="9">
        <v>451475.0</v>
      </c>
      <c r="B471" s="8" t="str">
        <f>VLOOKUP(A471,'mid_split_Annual Sub Sale'!F:F,1,0)</f>
        <v>#N/A</v>
      </c>
    </row>
    <row r="472">
      <c r="A472" s="9">
        <v>480018.0</v>
      </c>
      <c r="B472" s="8" t="str">
        <f>VLOOKUP(A472,'mid_split_Annual Sub Sale'!F:F,1,0)</f>
        <v>#N/A</v>
      </c>
    </row>
    <row r="473">
      <c r="A473" s="9">
        <v>449353.0</v>
      </c>
      <c r="B473" s="8" t="str">
        <f>VLOOKUP(A473,'mid_split_Annual Sub Sale'!F:F,1,0)</f>
        <v>#N/A</v>
      </c>
    </row>
    <row r="474">
      <c r="A474" s="9">
        <v>405447.0</v>
      </c>
      <c r="B474" s="8" t="str">
        <f>VLOOKUP(A474,'mid_split_Annual Sub Sale'!F:F,1,0)</f>
        <v>#N/A</v>
      </c>
    </row>
    <row r="475">
      <c r="A475" s="9">
        <v>455626.0</v>
      </c>
      <c r="B475" s="8" t="str">
        <f>VLOOKUP(A475,'mid_split_Annual Sub Sale'!F:F,1,0)</f>
        <v>#N/A</v>
      </c>
    </row>
    <row r="476">
      <c r="A476" s="9">
        <v>469510.0</v>
      </c>
      <c r="B476" s="8" t="str">
        <f>VLOOKUP(A476,'mid_split_Annual Sub Sale'!F:F,1,0)</f>
        <v>#N/A</v>
      </c>
    </row>
    <row r="477">
      <c r="A477" s="9">
        <v>400765.0</v>
      </c>
      <c r="B477" s="8" t="str">
        <f>VLOOKUP(A477,'mid_split_Annual Sub Sale'!F:F,1,0)</f>
        <v>#N/A</v>
      </c>
    </row>
    <row r="478">
      <c r="A478" s="9">
        <v>448195.0</v>
      </c>
      <c r="B478" s="8" t="str">
        <f>VLOOKUP(A478,'mid_split_Annual Sub Sale'!F:F,1,0)</f>
        <v>#N/A</v>
      </c>
    </row>
    <row r="479">
      <c r="A479" s="9">
        <v>430119.0</v>
      </c>
      <c r="B479" s="8" t="str">
        <f>VLOOKUP(A479,'mid_split_Annual Sub Sale'!F:F,1,0)</f>
        <v>#N/A</v>
      </c>
    </row>
    <row r="480">
      <c r="A480" s="9">
        <v>441811.0</v>
      </c>
      <c r="B480" s="8" t="str">
        <f>VLOOKUP(A480,'mid_split_Annual Sub Sale'!F:F,1,0)</f>
        <v>#N/A</v>
      </c>
    </row>
    <row r="481">
      <c r="A481" s="9">
        <v>473477.0</v>
      </c>
      <c r="B481" s="8" t="str">
        <f>VLOOKUP(A481,'mid_split_Annual Sub Sale'!F:F,1,0)</f>
        <v>#N/A</v>
      </c>
    </row>
    <row r="482">
      <c r="A482" s="9">
        <v>431310.0</v>
      </c>
      <c r="B482" s="8" t="str">
        <f>VLOOKUP(A482,'mid_split_Annual Sub Sale'!F:F,1,0)</f>
        <v>#N/A</v>
      </c>
    </row>
    <row r="483">
      <c r="A483" s="9">
        <v>494024.0</v>
      </c>
      <c r="B483" s="8" t="str">
        <f>VLOOKUP(A483,'mid_split_Annual Sub Sale'!F:F,1,0)</f>
        <v>#N/A</v>
      </c>
    </row>
    <row r="484">
      <c r="A484" s="9">
        <v>477571.0</v>
      </c>
      <c r="B484" s="8" t="str">
        <f>VLOOKUP(A484,'mid_split_Annual Sub Sale'!F:F,1,0)</f>
        <v>#N/A</v>
      </c>
    </row>
    <row r="485">
      <c r="A485" s="9">
        <v>427569.0</v>
      </c>
      <c r="B485" s="8" t="str">
        <f>VLOOKUP(A485,'mid_split_Annual Sub Sale'!F:F,1,0)</f>
        <v>#N/A</v>
      </c>
    </row>
    <row r="486">
      <c r="A486" s="9">
        <v>431939.0</v>
      </c>
      <c r="B486" s="8" t="str">
        <f>VLOOKUP(A486,'mid_split_Annual Sub Sale'!F:F,1,0)</f>
        <v>#N/A</v>
      </c>
    </row>
    <row r="487">
      <c r="A487" s="9">
        <v>409259.0</v>
      </c>
      <c r="B487" s="8" t="str">
        <f>VLOOKUP(A487,'mid_split_Annual Sub Sale'!F:F,1,0)</f>
        <v>#N/A</v>
      </c>
    </row>
    <row r="488">
      <c r="A488" s="9">
        <v>474678.0</v>
      </c>
      <c r="B488" s="8" t="str">
        <f>VLOOKUP(A488,'mid_split_Annual Sub Sale'!F:F,1,0)</f>
        <v>#N/A</v>
      </c>
    </row>
    <row r="489">
      <c r="A489" s="9">
        <v>442117.0</v>
      </c>
      <c r="B489" s="8" t="str">
        <f>VLOOKUP(A489,'mid_split_Annual Sub Sale'!F:F,1,0)</f>
        <v>#N/A</v>
      </c>
    </row>
    <row r="490">
      <c r="A490" s="9">
        <v>405091.0</v>
      </c>
      <c r="B490" s="8" t="str">
        <f>VLOOKUP(A490,'mid_split_Annual Sub Sale'!F:F,1,0)</f>
        <v>#N/A</v>
      </c>
    </row>
    <row r="491">
      <c r="A491" s="9">
        <v>435680.0</v>
      </c>
      <c r="B491" s="8" t="str">
        <f>VLOOKUP(A491,'mid_split_Annual Sub Sale'!F:F,1,0)</f>
        <v>#N/A</v>
      </c>
    </row>
    <row r="492">
      <c r="A492" s="9">
        <v>412938.0</v>
      </c>
      <c r="B492" s="8" t="str">
        <f>VLOOKUP(A492,'mid_split_Annual Sub Sale'!F:F,1,0)</f>
        <v>#N/A</v>
      </c>
    </row>
    <row r="493">
      <c r="A493" s="9">
        <v>479841.0</v>
      </c>
      <c r="B493" s="8" t="str">
        <f>VLOOKUP(A493,'mid_split_Annual Sub Sale'!F:F,1,0)</f>
        <v>#N/A</v>
      </c>
    </row>
    <row r="494">
      <c r="A494" s="9">
        <v>453952.0</v>
      </c>
      <c r="B494" s="8" t="str">
        <f>VLOOKUP(A494,'mid_split_Annual Sub Sale'!F:F,1,0)</f>
        <v>#N/A</v>
      </c>
    </row>
    <row r="495">
      <c r="A495" s="9">
        <v>480035.0</v>
      </c>
      <c r="B495" s="8" t="str">
        <f>VLOOKUP(A495,'mid_split_Annual Sub Sale'!F:F,1,0)</f>
        <v>#N/A</v>
      </c>
    </row>
    <row r="496">
      <c r="A496" s="9">
        <v>413952.0</v>
      </c>
      <c r="B496" s="8" t="str">
        <f>VLOOKUP(A496,'mid_split_Annual Sub Sale'!F:F,1,0)</f>
        <v>#N/A</v>
      </c>
    </row>
    <row r="497">
      <c r="A497" s="9">
        <v>413502.0</v>
      </c>
      <c r="B497" s="8" t="str">
        <f>VLOOKUP(A497,'mid_split_Annual Sub Sale'!F:F,1,0)</f>
        <v>#N/A</v>
      </c>
    </row>
    <row r="498">
      <c r="A498" s="9">
        <v>453811.0</v>
      </c>
      <c r="B498" s="8" t="str">
        <f>VLOOKUP(A498,'mid_split_Annual Sub Sale'!F:F,1,0)</f>
        <v>#N/A</v>
      </c>
    </row>
    <row r="499">
      <c r="A499" s="9">
        <v>448967.0</v>
      </c>
      <c r="B499" s="8" t="str">
        <f>VLOOKUP(A499,'mid_split_Annual Sub Sale'!F:F,1,0)</f>
        <v>#N/A</v>
      </c>
    </row>
    <row r="500">
      <c r="A500" s="9">
        <v>430859.0</v>
      </c>
      <c r="B500" s="8" t="str">
        <f>VLOOKUP(A500,'mid_split_Annual Sub Sale'!F:F,1,0)</f>
        <v>#N/A</v>
      </c>
    </row>
    <row r="501">
      <c r="A501" s="9">
        <v>415769.0</v>
      </c>
      <c r="B501" s="8" t="str">
        <f>VLOOKUP(A501,'mid_split_Annual Sub Sale'!F:F,1,0)</f>
        <v>#N/A</v>
      </c>
    </row>
    <row r="502">
      <c r="A502" s="9">
        <v>455025.0</v>
      </c>
      <c r="B502" s="8" t="str">
        <f>VLOOKUP(A502,'mid_split_Annual Sub Sale'!F:F,1,0)</f>
        <v>#N/A</v>
      </c>
    </row>
    <row r="503">
      <c r="A503" s="9">
        <v>455225.0</v>
      </c>
      <c r="B503" s="8" t="str">
        <f>VLOOKUP(A503,'mid_split_Annual Sub Sale'!F:F,1,0)</f>
        <v>#N/A</v>
      </c>
    </row>
    <row r="504">
      <c r="A504" s="9">
        <v>427305.0</v>
      </c>
      <c r="B504" s="8" t="str">
        <f>VLOOKUP(A504,'mid_split_Annual Sub Sale'!F:F,1,0)</f>
        <v>#N/A</v>
      </c>
    </row>
    <row r="505">
      <c r="A505" s="9">
        <v>402218.0</v>
      </c>
      <c r="B505" s="8" t="str">
        <f>VLOOKUP(A505,'mid_split_Annual Sub Sale'!F:F,1,0)</f>
        <v>#N/A</v>
      </c>
    </row>
    <row r="506">
      <c r="A506" s="9">
        <v>457105.0</v>
      </c>
      <c r="B506" s="8" t="str">
        <f>VLOOKUP(A506,'mid_split_Annual Sub Sale'!F:F,1,0)</f>
        <v>#N/A</v>
      </c>
    </row>
    <row r="507">
      <c r="A507" s="9">
        <v>433687.0</v>
      </c>
      <c r="B507" s="8" t="str">
        <f>VLOOKUP(A507,'mid_split_Annual Sub Sale'!F:F,1,0)</f>
        <v>#N/A</v>
      </c>
    </row>
    <row r="508">
      <c r="A508" s="9">
        <v>472520.0</v>
      </c>
      <c r="B508" s="8" t="str">
        <f>VLOOKUP(A508,'mid_split_Annual Sub Sale'!F:F,1,0)</f>
        <v>#N/A</v>
      </c>
    </row>
    <row r="509">
      <c r="A509" s="9">
        <v>475522.0</v>
      </c>
      <c r="B509" s="8" t="str">
        <f>VLOOKUP(A509,'mid_split_Annual Sub Sale'!F:F,1,0)</f>
        <v>#N/A</v>
      </c>
    </row>
    <row r="510">
      <c r="A510" s="9">
        <v>439551.0</v>
      </c>
      <c r="B510" s="8" t="str">
        <f>VLOOKUP(A510,'mid_split_Annual Sub Sale'!F:F,1,0)</f>
        <v>#N/A</v>
      </c>
    </row>
    <row r="511">
      <c r="A511" s="9">
        <v>481408.0</v>
      </c>
      <c r="B511" s="8" t="str">
        <f>VLOOKUP(A511,'mid_split_Annual Sub Sale'!F:F,1,0)</f>
        <v>#N/A</v>
      </c>
    </row>
    <row r="512">
      <c r="A512" s="9">
        <v>446324.0</v>
      </c>
      <c r="B512" s="8" t="str">
        <f>VLOOKUP(A512,'mid_split_Annual Sub Sale'!F:F,1,0)</f>
        <v>#N/A</v>
      </c>
    </row>
    <row r="513">
      <c r="A513" s="9">
        <v>449507.0</v>
      </c>
      <c r="B513" s="8" t="str">
        <f>VLOOKUP(A513,'mid_split_Annual Sub Sale'!F:F,1,0)</f>
        <v>#N/A</v>
      </c>
    </row>
    <row r="514">
      <c r="A514" s="9">
        <v>478554.0</v>
      </c>
      <c r="B514" s="8" t="str">
        <f>VLOOKUP(A514,'mid_split_Annual Sub Sale'!F:F,1,0)</f>
        <v>#N/A</v>
      </c>
    </row>
    <row r="515">
      <c r="A515" s="9">
        <v>453824.0</v>
      </c>
      <c r="B515" s="8" t="str">
        <f>VLOOKUP(A515,'mid_split_Annual Sub Sale'!F:F,1,0)</f>
        <v>#N/A</v>
      </c>
    </row>
    <row r="516">
      <c r="A516" s="9">
        <v>456397.0</v>
      </c>
      <c r="B516" s="8" t="str">
        <f>VLOOKUP(A516,'mid_split_Annual Sub Sale'!F:F,1,0)</f>
        <v>#N/A</v>
      </c>
    </row>
    <row r="517">
      <c r="A517" s="9">
        <v>411786.0</v>
      </c>
      <c r="B517" s="8" t="str">
        <f>VLOOKUP(A517,'mid_split_Annual Sub Sale'!F:F,1,0)</f>
        <v>#N/A</v>
      </c>
    </row>
    <row r="518">
      <c r="A518" s="9">
        <v>467068.0</v>
      </c>
      <c r="B518" s="8" t="str">
        <f>VLOOKUP(A518,'mid_split_Annual Sub Sale'!F:F,1,0)</f>
        <v>#N/A</v>
      </c>
    </row>
    <row r="519">
      <c r="A519" s="9">
        <v>403275.0</v>
      </c>
      <c r="B519" s="8" t="str">
        <f>VLOOKUP(A519,'mid_split_Annual Sub Sale'!F:F,1,0)</f>
        <v>#N/A</v>
      </c>
    </row>
    <row r="520">
      <c r="A520" s="9">
        <v>403306.0</v>
      </c>
      <c r="B520" s="8" t="str">
        <f>VLOOKUP(A520,'mid_split_Annual Sub Sale'!F:F,1,0)</f>
        <v>#N/A</v>
      </c>
    </row>
    <row r="521">
      <c r="A521" s="9">
        <v>407264.0</v>
      </c>
      <c r="B521" s="8" t="str">
        <f>VLOOKUP(A521,'mid_split_Annual Sub Sale'!F:F,1,0)</f>
        <v>#N/A</v>
      </c>
    </row>
    <row r="522">
      <c r="A522" s="9">
        <v>497413.0</v>
      </c>
      <c r="B522" s="8" t="str">
        <f>VLOOKUP(A522,'mid_split_Annual Sub Sale'!F:F,1,0)</f>
        <v>#N/A</v>
      </c>
    </row>
    <row r="523">
      <c r="A523" s="9">
        <v>484377.0</v>
      </c>
      <c r="B523" s="8" t="str">
        <f>VLOOKUP(A523,'mid_split_Annual Sub Sale'!F:F,1,0)</f>
        <v>#N/A</v>
      </c>
    </row>
    <row r="524">
      <c r="A524" s="9">
        <v>442658.0</v>
      </c>
      <c r="B524" s="8" t="str">
        <f>VLOOKUP(A524,'mid_split_Annual Sub Sale'!F:F,1,0)</f>
        <v>#N/A</v>
      </c>
    </row>
    <row r="525">
      <c r="A525" s="9">
        <v>453220.0</v>
      </c>
      <c r="B525" s="8" t="str">
        <f>VLOOKUP(A525,'mid_split_Annual Sub Sale'!F:F,1,0)</f>
        <v>#N/A</v>
      </c>
    </row>
    <row r="526">
      <c r="A526" s="9">
        <v>449036.0</v>
      </c>
      <c r="B526" s="8" t="str">
        <f>VLOOKUP(A526,'mid_split_Annual Sub Sale'!F:F,1,0)</f>
        <v>#N/A</v>
      </c>
    </row>
    <row r="527">
      <c r="A527" s="9">
        <v>412712.0</v>
      </c>
      <c r="B527" s="8" t="str">
        <f>VLOOKUP(A527,'mid_split_Annual Sub Sale'!F:F,1,0)</f>
        <v>#N/A</v>
      </c>
    </row>
    <row r="528">
      <c r="A528" s="9">
        <v>487100.0</v>
      </c>
      <c r="B528" s="8" t="str">
        <f>VLOOKUP(A528,'mid_split_Annual Sub Sale'!F:F,1,0)</f>
        <v>#N/A</v>
      </c>
    </row>
    <row r="529">
      <c r="A529" s="9">
        <v>426245.0</v>
      </c>
      <c r="B529" s="8" t="str">
        <f>VLOOKUP(A529,'mid_split_Annual Sub Sale'!F:F,1,0)</f>
        <v>#N/A</v>
      </c>
    </row>
    <row r="530">
      <c r="A530" s="9">
        <v>429444.0</v>
      </c>
      <c r="B530" s="8" t="str">
        <f>VLOOKUP(A530,'mid_split_Annual Sub Sale'!F:F,1,0)</f>
        <v>#N/A</v>
      </c>
    </row>
    <row r="531">
      <c r="A531" s="9">
        <v>476995.0</v>
      </c>
      <c r="B531" s="8" t="str">
        <f>VLOOKUP(A531,'mid_split_Annual Sub Sale'!F:F,1,0)</f>
        <v>#N/A</v>
      </c>
    </row>
    <row r="532">
      <c r="A532" s="9">
        <v>426562.0</v>
      </c>
      <c r="B532" s="8" t="str">
        <f>VLOOKUP(A532,'mid_split_Annual Sub Sale'!F:F,1,0)</f>
        <v>#N/A</v>
      </c>
    </row>
    <row r="533">
      <c r="A533" s="9">
        <v>434975.0</v>
      </c>
      <c r="B533" s="8" t="str">
        <f>VLOOKUP(A533,'mid_split_Annual Sub Sale'!F:F,1,0)</f>
        <v>#N/A</v>
      </c>
    </row>
    <row r="534">
      <c r="A534" s="9">
        <v>457125.0</v>
      </c>
      <c r="B534" s="8" t="str">
        <f>VLOOKUP(A534,'mid_split_Annual Sub Sale'!F:F,1,0)</f>
        <v>#N/A</v>
      </c>
    </row>
    <row r="535">
      <c r="A535" s="9">
        <v>443292.0</v>
      </c>
      <c r="B535" s="8" t="str">
        <f>VLOOKUP(A535,'mid_split_Annual Sub Sale'!F:F,1,0)</f>
        <v>#N/A</v>
      </c>
    </row>
    <row r="536">
      <c r="A536" s="9">
        <v>442062.0</v>
      </c>
      <c r="B536" s="8" t="str">
        <f>VLOOKUP(A536,'mid_split_Annual Sub Sale'!F:F,1,0)</f>
        <v>#N/A</v>
      </c>
    </row>
    <row r="537">
      <c r="A537" s="9">
        <v>456367.0</v>
      </c>
      <c r="B537" s="8" t="str">
        <f>VLOOKUP(A537,'mid_split_Annual Sub Sale'!F:F,1,0)</f>
        <v>#N/A</v>
      </c>
    </row>
    <row r="538">
      <c r="A538" s="9">
        <v>413570.0</v>
      </c>
      <c r="B538" s="8" t="str">
        <f>VLOOKUP(A538,'mid_split_Annual Sub Sale'!F:F,1,0)</f>
        <v>#N/A</v>
      </c>
    </row>
    <row r="539">
      <c r="A539" s="9">
        <v>427199.0</v>
      </c>
      <c r="B539" s="8" t="str">
        <f>VLOOKUP(A539,'mid_split_Annual Sub Sale'!F:F,1,0)</f>
        <v>#N/A</v>
      </c>
    </row>
    <row r="540">
      <c r="A540" s="9">
        <v>478404.0</v>
      </c>
      <c r="B540" s="8" t="str">
        <f>VLOOKUP(A540,'mid_split_Annual Sub Sale'!F:F,1,0)</f>
        <v>#N/A</v>
      </c>
    </row>
    <row r="541">
      <c r="A541" s="9">
        <v>440632.0</v>
      </c>
      <c r="B541" s="8" t="str">
        <f>VLOOKUP(A541,'mid_split_Annual Sub Sale'!F:F,1,0)</f>
        <v>#N/A</v>
      </c>
    </row>
    <row r="542">
      <c r="A542" s="9">
        <v>420071.0</v>
      </c>
      <c r="B542" s="8" t="str">
        <f>VLOOKUP(A542,'mid_split_Annual Sub Sale'!F:F,1,0)</f>
        <v>#N/A</v>
      </c>
    </row>
    <row r="543">
      <c r="A543" s="9">
        <v>430083.0</v>
      </c>
      <c r="B543" s="8" t="str">
        <f>VLOOKUP(A543,'mid_split_Annual Sub Sale'!F:F,1,0)</f>
        <v>#N/A</v>
      </c>
    </row>
    <row r="544">
      <c r="A544" s="9">
        <v>413900.0</v>
      </c>
      <c r="B544" s="8" t="str">
        <f>VLOOKUP(A544,'mid_split_Annual Sub Sale'!F:F,1,0)</f>
        <v>#N/A</v>
      </c>
    </row>
    <row r="545">
      <c r="A545" s="9">
        <v>472690.0</v>
      </c>
      <c r="B545" s="8" t="str">
        <f>VLOOKUP(A545,'mid_split_Annual Sub Sale'!F:F,1,0)</f>
        <v>#N/A</v>
      </c>
    </row>
    <row r="546">
      <c r="A546" s="9">
        <v>494001.0</v>
      </c>
      <c r="B546" s="8" t="str">
        <f>VLOOKUP(A546,'mid_split_Annual Sub Sale'!F:F,1,0)</f>
        <v>#N/A</v>
      </c>
    </row>
    <row r="547">
      <c r="A547" s="9">
        <v>425404.0</v>
      </c>
      <c r="B547" s="8" t="str">
        <f>VLOOKUP(A547,'mid_split_Annual Sub Sale'!F:F,1,0)</f>
        <v>#N/A</v>
      </c>
    </row>
    <row r="548">
      <c r="A548" s="9">
        <v>406001.0</v>
      </c>
      <c r="B548" s="8" t="str">
        <f>VLOOKUP(A548,'mid_split_Annual Sub Sale'!F:F,1,0)</f>
        <v>#N/A</v>
      </c>
    </row>
    <row r="549">
      <c r="A549" s="9">
        <v>473312.0</v>
      </c>
      <c r="B549" s="8" t="str">
        <f>VLOOKUP(A549,'mid_split_Annual Sub Sale'!F:F,1,0)</f>
        <v>#N/A</v>
      </c>
    </row>
    <row r="550">
      <c r="A550" s="9">
        <v>451369.0</v>
      </c>
      <c r="B550" s="8" t="str">
        <f>VLOOKUP(A550,'mid_split_Annual Sub Sale'!F:F,1,0)</f>
        <v>#N/A</v>
      </c>
    </row>
    <row r="551">
      <c r="A551" s="9">
        <v>402461.0</v>
      </c>
      <c r="B551" s="8" t="str">
        <f>VLOOKUP(A551,'mid_split_Annual Sub Sale'!F:F,1,0)</f>
        <v>#N/A</v>
      </c>
    </row>
    <row r="552">
      <c r="A552" s="9">
        <v>407067.0</v>
      </c>
      <c r="B552" s="8" t="str">
        <f>VLOOKUP(A552,'mid_split_Annual Sub Sale'!F:F,1,0)</f>
        <v>#N/A</v>
      </c>
    </row>
    <row r="553">
      <c r="A553" s="9">
        <v>447069.0</v>
      </c>
      <c r="B553" s="8" t="str">
        <f>VLOOKUP(A553,'mid_split_Annual Sub Sale'!F:F,1,0)</f>
        <v>#N/A</v>
      </c>
    </row>
    <row r="554">
      <c r="A554" s="9">
        <v>441946.0</v>
      </c>
      <c r="B554" s="8" t="str">
        <f>VLOOKUP(A554,'mid_split_Annual Sub Sale'!F:F,1,0)</f>
        <v>#N/A</v>
      </c>
    </row>
    <row r="555">
      <c r="A555" s="9">
        <v>449839.0</v>
      </c>
      <c r="B555" s="8" t="str">
        <f>VLOOKUP(A555,'mid_split_Annual Sub Sale'!F:F,1,0)</f>
        <v>#N/A</v>
      </c>
    </row>
    <row r="556">
      <c r="A556" s="9">
        <v>458011.0</v>
      </c>
      <c r="B556" s="8" t="str">
        <f>VLOOKUP(A556,'mid_split_Annual Sub Sale'!F:F,1,0)</f>
        <v>#N/A</v>
      </c>
    </row>
    <row r="557">
      <c r="A557" s="9">
        <v>458594.0</v>
      </c>
      <c r="B557" s="8" t="str">
        <f>VLOOKUP(A557,'mid_split_Annual Sub Sale'!F:F,1,0)</f>
        <v>#N/A</v>
      </c>
    </row>
    <row r="558">
      <c r="A558" s="9">
        <v>413388.0</v>
      </c>
      <c r="B558" s="8" t="str">
        <f>VLOOKUP(A558,'mid_split_Annual Sub Sale'!F:F,1,0)</f>
        <v>#N/A</v>
      </c>
    </row>
    <row r="559">
      <c r="A559" s="9">
        <v>401183.0</v>
      </c>
      <c r="B559" s="8" t="str">
        <f>VLOOKUP(A559,'mid_split_Annual Sub Sale'!F:F,1,0)</f>
        <v>#N/A</v>
      </c>
    </row>
    <row r="560">
      <c r="A560" s="9">
        <v>408687.0</v>
      </c>
      <c r="B560" s="8" t="str">
        <f>VLOOKUP(A560,'mid_split_Annual Sub Sale'!F:F,1,0)</f>
        <v>#N/A</v>
      </c>
    </row>
    <row r="561">
      <c r="A561" s="9">
        <v>497039.0</v>
      </c>
      <c r="B561" s="8" t="str">
        <f>VLOOKUP(A561,'mid_split_Annual Sub Sale'!F:F,1,0)</f>
        <v>#N/A</v>
      </c>
    </row>
    <row r="562">
      <c r="A562" s="9">
        <v>441837.0</v>
      </c>
      <c r="B562" s="8" t="str">
        <f>VLOOKUP(A562,'mid_split_Annual Sub Sale'!F:F,1,0)</f>
        <v>#N/A</v>
      </c>
    </row>
    <row r="563">
      <c r="A563" s="9">
        <v>446620.0</v>
      </c>
      <c r="B563" s="8" t="str">
        <f>VLOOKUP(A563,'mid_split_Annual Sub Sale'!F:F,1,0)</f>
        <v>#N/A</v>
      </c>
    </row>
    <row r="564">
      <c r="A564" s="9">
        <v>427238.0</v>
      </c>
      <c r="B564" s="8" t="str">
        <f>VLOOKUP(A564,'mid_split_Annual Sub Sale'!F:F,1,0)</f>
        <v>#N/A</v>
      </c>
    </row>
    <row r="565">
      <c r="A565" s="9">
        <v>417046.0</v>
      </c>
      <c r="B565" s="8" t="str">
        <f>VLOOKUP(A565,'mid_split_Annual Sub Sale'!F:F,1,0)</f>
        <v>#N/A</v>
      </c>
    </row>
    <row r="566">
      <c r="A566" s="9">
        <v>416126.0</v>
      </c>
      <c r="B566" s="8" t="str">
        <f>VLOOKUP(A566,'mid_split_Annual Sub Sale'!F:F,1,0)</f>
        <v>#N/A</v>
      </c>
    </row>
    <row r="567">
      <c r="A567" s="9">
        <v>497728.0</v>
      </c>
      <c r="B567" s="8" t="str">
        <f>VLOOKUP(A567,'mid_split_Annual Sub Sale'!F:F,1,0)</f>
        <v>#N/A</v>
      </c>
    </row>
    <row r="568">
      <c r="A568" s="9">
        <v>425152.0</v>
      </c>
      <c r="B568" s="8" t="str">
        <f>VLOOKUP(A568,'mid_split_Annual Sub Sale'!F:F,1,0)</f>
        <v>#N/A</v>
      </c>
    </row>
    <row r="569">
      <c r="A569" s="9">
        <v>493080.0</v>
      </c>
      <c r="B569" s="8" t="str">
        <f>VLOOKUP(A569,'mid_split_Annual Sub Sale'!F:F,1,0)</f>
        <v>#N/A</v>
      </c>
    </row>
    <row r="570" hidden="1">
      <c r="A570" s="9">
        <v>449627.0</v>
      </c>
      <c r="B570" s="8" t="str">
        <f>VLOOKUP(A570,'mid_split_Annual Sub Sale'!F:F,1,0)</f>
        <v>#N/A</v>
      </c>
    </row>
    <row r="571">
      <c r="A571" s="9">
        <v>425603.0</v>
      </c>
      <c r="B571" s="8" t="str">
        <f>VLOOKUP(A571,'mid_split_Annual Sub Sale'!F:F,1,0)</f>
        <v>#N/A</v>
      </c>
    </row>
    <row r="572">
      <c r="A572" s="9">
        <v>441982.0</v>
      </c>
      <c r="B572" s="8" t="str">
        <f>VLOOKUP(A572,'mid_split_Annual Sub Sale'!F:F,1,0)</f>
        <v>#N/A</v>
      </c>
    </row>
    <row r="573">
      <c r="A573" s="9">
        <v>425254.0</v>
      </c>
      <c r="B573" s="8" t="str">
        <f>VLOOKUP(A573,'mid_split_Annual Sub Sale'!F:F,1,0)</f>
        <v>#N/A</v>
      </c>
    </row>
    <row r="574">
      <c r="A574" s="9">
        <v>425437.0</v>
      </c>
      <c r="B574" s="8" t="str">
        <f>VLOOKUP(A574,'mid_split_Annual Sub Sale'!F:F,1,0)</f>
        <v>#N/A</v>
      </c>
    </row>
    <row r="575">
      <c r="A575" s="9">
        <v>445865.0</v>
      </c>
      <c r="B575" s="8" t="str">
        <f>VLOOKUP(A575,'mid_split_Annual Sub Sale'!F:F,1,0)</f>
        <v>#N/A</v>
      </c>
    </row>
    <row r="576">
      <c r="A576" s="9">
        <v>494638.0</v>
      </c>
      <c r="B576" s="8" t="str">
        <f>VLOOKUP(A576,'mid_split_Annual Sub Sale'!F:F,1,0)</f>
        <v>#N/A</v>
      </c>
    </row>
    <row r="577">
      <c r="A577" s="9">
        <v>486933.0</v>
      </c>
      <c r="B577" s="8" t="str">
        <f>VLOOKUP(A577,'mid_split_Annual Sub Sale'!F:F,1,0)</f>
        <v>#N/A</v>
      </c>
    </row>
    <row r="578">
      <c r="A578" s="9">
        <v>443178.0</v>
      </c>
      <c r="B578" s="8" t="str">
        <f>VLOOKUP(A578,'mid_split_Annual Sub Sale'!F:F,1,0)</f>
        <v>#N/A</v>
      </c>
    </row>
    <row r="579">
      <c r="A579" s="9">
        <v>446621.0</v>
      </c>
      <c r="B579" s="8" t="str">
        <f>VLOOKUP(A579,'mid_split_Annual Sub Sale'!F:F,1,0)</f>
        <v>#N/A</v>
      </c>
    </row>
    <row r="580">
      <c r="A580" s="9">
        <v>401973.0</v>
      </c>
      <c r="B580" s="8" t="str">
        <f>VLOOKUP(A580,'mid_split_Annual Sub Sale'!F:F,1,0)</f>
        <v>#N/A</v>
      </c>
    </row>
    <row r="581">
      <c r="A581" s="9">
        <v>480353.0</v>
      </c>
      <c r="B581" s="8" t="str">
        <f>VLOOKUP(A581,'mid_split_Annual Sub Sale'!F:F,1,0)</f>
        <v>#N/A</v>
      </c>
    </row>
    <row r="582">
      <c r="A582" s="9">
        <v>481879.0</v>
      </c>
      <c r="B582" s="8" t="str">
        <f>VLOOKUP(A582,'mid_split_Annual Sub Sale'!F:F,1,0)</f>
        <v>#N/A</v>
      </c>
    </row>
    <row r="583">
      <c r="A583" s="9">
        <v>411824.0</v>
      </c>
      <c r="B583" s="8" t="str">
        <f>VLOOKUP(A583,'mid_split_Annual Sub Sale'!F:F,1,0)</f>
        <v>#N/A</v>
      </c>
    </row>
    <row r="584">
      <c r="A584" s="9">
        <v>401046.0</v>
      </c>
      <c r="B584" s="8" t="str">
        <f>VLOOKUP(A584,'mid_split_Annual Sub Sale'!F:F,1,0)</f>
        <v>#N/A</v>
      </c>
    </row>
    <row r="585">
      <c r="A585" s="9">
        <v>449511.0</v>
      </c>
      <c r="B585" s="8" t="str">
        <f>VLOOKUP(A585,'mid_split_Annual Sub Sale'!F:F,1,0)</f>
        <v>#N/A</v>
      </c>
    </row>
    <row r="586">
      <c r="A586" s="9">
        <v>401982.0</v>
      </c>
      <c r="B586" s="8" t="str">
        <f>VLOOKUP(A586,'mid_split_Annual Sub Sale'!F:F,1,0)</f>
        <v>#N/A</v>
      </c>
    </row>
    <row r="587">
      <c r="A587" s="9">
        <v>467321.0</v>
      </c>
      <c r="B587" s="8" t="str">
        <f>VLOOKUP(A587,'mid_split_Annual Sub Sale'!F:F,1,0)</f>
        <v>#N/A</v>
      </c>
    </row>
    <row r="588">
      <c r="A588" s="9">
        <v>447636.0</v>
      </c>
      <c r="B588" s="8" t="str">
        <f>VLOOKUP(A588,'mid_split_Annual Sub Sale'!F:F,1,0)</f>
        <v>#N/A</v>
      </c>
    </row>
    <row r="589">
      <c r="A589" s="9">
        <v>497602.0</v>
      </c>
      <c r="B589" s="8" t="str">
        <f>VLOOKUP(A589,'mid_split_Annual Sub Sale'!F:F,1,0)</f>
        <v>#N/A</v>
      </c>
    </row>
    <row r="590">
      <c r="A590" s="9">
        <v>401524.0</v>
      </c>
      <c r="B590" s="8" t="str">
        <f>VLOOKUP(A590,'mid_split_Annual Sub Sale'!F:F,1,0)</f>
        <v>#N/A</v>
      </c>
    </row>
    <row r="591">
      <c r="A591" s="9">
        <v>440348.0</v>
      </c>
      <c r="B591" s="8" t="str">
        <f>VLOOKUP(A591,'mid_split_Annual Sub Sale'!F:F,1,0)</f>
        <v>#N/A</v>
      </c>
    </row>
    <row r="592">
      <c r="A592" s="9">
        <v>462765.0</v>
      </c>
      <c r="B592" s="8" t="str">
        <f>VLOOKUP(A592,'mid_split_Annual Sub Sale'!F:F,1,0)</f>
        <v>#N/A</v>
      </c>
    </row>
    <row r="593">
      <c r="A593" s="9">
        <v>438294.0</v>
      </c>
      <c r="B593" s="8" t="str">
        <f>VLOOKUP(A593,'mid_split_Annual Sub Sale'!F:F,1,0)</f>
        <v>#N/A</v>
      </c>
    </row>
    <row r="594">
      <c r="A594" s="9">
        <v>480641.0</v>
      </c>
      <c r="B594" s="8" t="str">
        <f>VLOOKUP(A594,'mid_split_Annual Sub Sale'!F:F,1,0)</f>
        <v>#N/A</v>
      </c>
    </row>
    <row r="595">
      <c r="A595" s="9">
        <v>457135.0</v>
      </c>
      <c r="B595" s="8" t="str">
        <f>VLOOKUP(A595,'mid_split_Annual Sub Sale'!F:F,1,0)</f>
        <v>#N/A</v>
      </c>
    </row>
    <row r="596">
      <c r="A596" s="9">
        <v>403594.0</v>
      </c>
      <c r="B596" s="8" t="str">
        <f>VLOOKUP(A596,'mid_split_Annual Sub Sale'!F:F,1,0)</f>
        <v>#N/A</v>
      </c>
    </row>
    <row r="597">
      <c r="A597" s="9">
        <v>454052.0</v>
      </c>
      <c r="B597" s="8" t="str">
        <f>VLOOKUP(A597,'mid_split_Annual Sub Sale'!F:F,1,0)</f>
        <v>#N/A</v>
      </c>
    </row>
    <row r="598">
      <c r="A598" s="9">
        <v>453917.0</v>
      </c>
      <c r="B598" s="8" t="str">
        <f>VLOOKUP(A598,'mid_split_Annual Sub Sale'!F:F,1,0)</f>
        <v>#N/A</v>
      </c>
    </row>
    <row r="599">
      <c r="A599" s="9">
        <v>443412.0</v>
      </c>
      <c r="B599" s="8" t="str">
        <f>VLOOKUP(A599,'mid_split_Annual Sub Sale'!F:F,1,0)</f>
        <v>#N/A</v>
      </c>
    </row>
    <row r="600">
      <c r="A600" s="9">
        <v>400738.0</v>
      </c>
      <c r="B600" s="8" t="str">
        <f>VLOOKUP(A600,'mid_split_Annual Sub Sale'!F:F,1,0)</f>
        <v>#N/A</v>
      </c>
    </row>
    <row r="601">
      <c r="A601" s="9">
        <v>495083.0</v>
      </c>
      <c r="B601" s="8" t="str">
        <f>VLOOKUP(A601,'mid_split_Annual Sub Sale'!F:F,1,0)</f>
        <v>#N/A</v>
      </c>
    </row>
    <row r="602">
      <c r="A602" s="9">
        <v>408832.0</v>
      </c>
      <c r="B602" s="8" t="str">
        <f>VLOOKUP(A602,'mid_split_Annual Sub Sale'!F:F,1,0)</f>
        <v>#N/A</v>
      </c>
    </row>
    <row r="603">
      <c r="A603" s="9">
        <v>446271.0</v>
      </c>
      <c r="B603" s="8" t="str">
        <f>VLOOKUP(A603,'mid_split_Annual Sub Sale'!F:F,1,0)</f>
        <v>#N/A</v>
      </c>
    </row>
    <row r="604">
      <c r="A604" s="9">
        <v>430622.0</v>
      </c>
      <c r="B604" s="8" t="str">
        <f>VLOOKUP(A604,'mid_split_Annual Sub Sale'!F:F,1,0)</f>
        <v>#N/A</v>
      </c>
    </row>
    <row r="605">
      <c r="A605" s="9">
        <v>456382.0</v>
      </c>
      <c r="B605" s="8" t="str">
        <f>VLOOKUP(A605,'mid_split_Annual Sub Sale'!F:F,1,0)</f>
        <v>#N/A</v>
      </c>
    </row>
    <row r="606">
      <c r="A606" s="9">
        <v>400981.0</v>
      </c>
      <c r="B606" s="8" t="str">
        <f>VLOOKUP(A606,'mid_split_Annual Sub Sale'!F:F,1,0)</f>
        <v>#N/A</v>
      </c>
    </row>
    <row r="607">
      <c r="A607" s="9">
        <v>404253.0</v>
      </c>
      <c r="B607" s="8" t="str">
        <f>VLOOKUP(A607,'mid_split_Annual Sub Sale'!F:F,1,0)</f>
        <v>#N/A</v>
      </c>
    </row>
    <row r="608">
      <c r="A608" s="9">
        <v>456485.0</v>
      </c>
      <c r="B608" s="8" t="str">
        <f>VLOOKUP(A608,'mid_split_Annual Sub Sale'!F:F,1,0)</f>
        <v>#N/A</v>
      </c>
    </row>
    <row r="609">
      <c r="A609" s="9">
        <v>421075.0</v>
      </c>
      <c r="B609" s="8" t="str">
        <f>VLOOKUP(A609,'mid_split_Annual Sub Sale'!F:F,1,0)</f>
        <v>#N/A</v>
      </c>
    </row>
    <row r="610">
      <c r="A610" s="9">
        <v>457166.0</v>
      </c>
      <c r="B610" s="8" t="str">
        <f>VLOOKUP(A610,'mid_split_Annual Sub Sale'!F:F,1,0)</f>
        <v>#N/A</v>
      </c>
    </row>
    <row r="611">
      <c r="A611" s="9">
        <v>445303.0</v>
      </c>
      <c r="B611" s="8" t="str">
        <f>VLOOKUP(A611,'mid_split_Annual Sub Sale'!F:F,1,0)</f>
        <v>#N/A</v>
      </c>
    </row>
    <row r="612">
      <c r="A612" s="9">
        <v>457174.0</v>
      </c>
      <c r="B612" s="8" t="str">
        <f>VLOOKUP(A612,'mid_split_Annual Sub Sale'!F:F,1,0)</f>
        <v>#N/A</v>
      </c>
    </row>
    <row r="613">
      <c r="A613" s="9">
        <v>412065.0</v>
      </c>
      <c r="B613" s="8" t="str">
        <f>VLOOKUP(A613,'mid_split_Annual Sub Sale'!F:F,1,0)</f>
        <v>#N/A</v>
      </c>
    </row>
    <row r="614">
      <c r="A614" s="9">
        <v>417021.0</v>
      </c>
      <c r="B614" s="8" t="str">
        <f>VLOOKUP(A614,'mid_split_Annual Sub Sale'!F:F,1,0)</f>
        <v>#N/A</v>
      </c>
    </row>
    <row r="615">
      <c r="A615" s="9">
        <v>403164.0</v>
      </c>
      <c r="B615" s="8" t="str">
        <f>VLOOKUP(A615,'mid_split_Annual Sub Sale'!F:F,1,0)</f>
        <v>#N/A</v>
      </c>
    </row>
    <row r="616">
      <c r="A616" s="9">
        <v>426427.0</v>
      </c>
      <c r="B616" s="8" t="str">
        <f>VLOOKUP(A616,'mid_split_Annual Sub Sale'!F:F,1,0)</f>
        <v>#N/A</v>
      </c>
    </row>
    <row r="617">
      <c r="A617" s="9">
        <v>410870.0</v>
      </c>
      <c r="B617" s="8" t="str">
        <f>VLOOKUP(A617,'mid_split_Annual Sub Sale'!F:F,1,0)</f>
        <v>#N/A</v>
      </c>
    </row>
    <row r="618">
      <c r="A618" s="9">
        <v>446777.0</v>
      </c>
      <c r="B618" s="8" t="str">
        <f>VLOOKUP(A618,'mid_split_Annual Sub Sale'!F:F,1,0)</f>
        <v>#N/A</v>
      </c>
    </row>
    <row r="619">
      <c r="A619" s="9">
        <v>446204.0</v>
      </c>
      <c r="B619" s="8" t="str">
        <f>VLOOKUP(A619,'mid_split_Annual Sub Sale'!F:F,1,0)</f>
        <v>#N/A</v>
      </c>
    </row>
    <row r="620">
      <c r="A620" s="9">
        <v>415324.0</v>
      </c>
      <c r="B620" s="8" t="str">
        <f>VLOOKUP(A620,'mid_split_Annual Sub Sale'!F:F,1,0)</f>
        <v>#N/A</v>
      </c>
    </row>
    <row r="621">
      <c r="A621" s="9">
        <v>472675.0</v>
      </c>
      <c r="B621" s="8" t="str">
        <f>VLOOKUP(A621,'mid_split_Annual Sub Sale'!F:F,1,0)</f>
        <v>#N/A</v>
      </c>
    </row>
    <row r="622">
      <c r="A622" s="9">
        <v>478973.0</v>
      </c>
      <c r="B622" s="8" t="str">
        <f>VLOOKUP(A622,'mid_split_Annual Sub Sale'!F:F,1,0)</f>
        <v>#N/A</v>
      </c>
    </row>
    <row r="623">
      <c r="A623" s="9">
        <v>483467.0</v>
      </c>
      <c r="B623" s="8" t="str">
        <f>VLOOKUP(A623,'mid_split_Annual Sub Sale'!F:F,1,0)</f>
        <v>#N/A</v>
      </c>
    </row>
    <row r="624">
      <c r="A624" s="9">
        <v>414706.0</v>
      </c>
      <c r="B624" s="8" t="str">
        <f>VLOOKUP(A624,'mid_split_Annual Sub Sale'!F:F,1,0)</f>
        <v>#N/A</v>
      </c>
    </row>
    <row r="625">
      <c r="A625" s="9">
        <v>447672.0</v>
      </c>
      <c r="B625" s="8" t="str">
        <f>VLOOKUP(A625,'mid_split_Annual Sub Sale'!F:F,1,0)</f>
        <v>#N/A</v>
      </c>
    </row>
    <row r="626">
      <c r="A626" s="9">
        <v>441433.0</v>
      </c>
      <c r="B626" s="8" t="str">
        <f>VLOOKUP(A626,'mid_split_Annual Sub Sale'!F:F,1,0)</f>
        <v>#N/A</v>
      </c>
    </row>
    <row r="627">
      <c r="A627" s="9">
        <v>461126.0</v>
      </c>
      <c r="B627" s="8" t="str">
        <f>VLOOKUP(A627,'mid_split_Annual Sub Sale'!F:F,1,0)</f>
        <v>#N/A</v>
      </c>
    </row>
    <row r="628">
      <c r="A628" s="9">
        <v>457136.0</v>
      </c>
      <c r="B628" s="8" t="str">
        <f>VLOOKUP(A628,'mid_split_Annual Sub Sale'!F:F,1,0)</f>
        <v>#N/A</v>
      </c>
    </row>
    <row r="629">
      <c r="A629" s="9">
        <v>461976.0</v>
      </c>
      <c r="B629" s="8" t="str">
        <f>VLOOKUP(A629,'mid_split_Annual Sub Sale'!F:F,1,0)</f>
        <v>#N/A</v>
      </c>
    </row>
    <row r="630">
      <c r="A630" s="9">
        <v>421065.0</v>
      </c>
      <c r="B630" s="8" t="str">
        <f>VLOOKUP(A630,'mid_split_Annual Sub Sale'!F:F,1,0)</f>
        <v>#N/A</v>
      </c>
    </row>
    <row r="631">
      <c r="A631" s="9">
        <v>457126.0</v>
      </c>
      <c r="B631" s="8" t="str">
        <f>VLOOKUP(A631,'mid_split_Annual Sub Sale'!F:F,1,0)</f>
        <v>#N/A</v>
      </c>
    </row>
    <row r="632">
      <c r="A632" s="9">
        <v>433329.0</v>
      </c>
      <c r="B632" s="8" t="str">
        <f>VLOOKUP(A632,'mid_split_Annual Sub Sale'!F:F,1,0)</f>
        <v>#N/A</v>
      </c>
    </row>
    <row r="633">
      <c r="A633" s="9">
        <v>480639.0</v>
      </c>
      <c r="B633" s="8" t="str">
        <f>VLOOKUP(A633,'mid_split_Annual Sub Sale'!F:F,1,0)</f>
        <v>#N/A</v>
      </c>
    </row>
    <row r="634">
      <c r="A634" s="9">
        <v>446705.0</v>
      </c>
      <c r="B634" s="8" t="str">
        <f>VLOOKUP(A634,'mid_split_Annual Sub Sale'!F:F,1,0)</f>
        <v>#N/A</v>
      </c>
    </row>
    <row r="635">
      <c r="A635" s="9">
        <v>465875.0</v>
      </c>
      <c r="B635" s="8" t="str">
        <f>VLOOKUP(A635,'mid_split_Annual Sub Sale'!F:F,1,0)</f>
        <v>#N/A</v>
      </c>
    </row>
    <row r="636">
      <c r="A636" s="9">
        <v>487129.0</v>
      </c>
      <c r="B636" s="8" t="str">
        <f>VLOOKUP(A636,'mid_split_Annual Sub Sale'!F:F,1,0)</f>
        <v>#N/A</v>
      </c>
    </row>
    <row r="637">
      <c r="A637" s="9">
        <v>430020.0</v>
      </c>
      <c r="B637" s="8" t="str">
        <f>VLOOKUP(A637,'mid_split_Annual Sub Sale'!F:F,1,0)</f>
        <v>#N/A</v>
      </c>
    </row>
    <row r="638">
      <c r="A638" s="9">
        <v>431431.0</v>
      </c>
      <c r="B638" s="8" t="str">
        <f>VLOOKUP(A638,'mid_split_Annual Sub Sale'!F:F,1,0)</f>
        <v>#N/A</v>
      </c>
    </row>
    <row r="639">
      <c r="A639" s="9">
        <v>435880.0</v>
      </c>
      <c r="B639" s="8" t="str">
        <f>VLOOKUP(A639,'mid_split_Annual Sub Sale'!F:F,1,0)</f>
        <v>#N/A</v>
      </c>
    </row>
    <row r="640">
      <c r="A640" s="9">
        <v>418941.0</v>
      </c>
      <c r="B640" s="8" t="str">
        <f>VLOOKUP(A640,'mid_split_Annual Sub Sale'!F:F,1,0)</f>
        <v>#N/A</v>
      </c>
    </row>
    <row r="641">
      <c r="A641" s="9">
        <v>422248.0</v>
      </c>
      <c r="B641" s="8" t="str">
        <f>VLOOKUP(A641,'mid_split_Annual Sub Sale'!F:F,1,0)</f>
        <v>#N/A</v>
      </c>
    </row>
    <row r="642">
      <c r="A642" s="9">
        <v>448816.0</v>
      </c>
      <c r="B642" s="8" t="str">
        <f>VLOOKUP(A642,'mid_split_Annual Sub Sale'!F:F,1,0)</f>
        <v>#N/A</v>
      </c>
    </row>
    <row r="643">
      <c r="A643" s="9">
        <v>454799.0</v>
      </c>
      <c r="B643" s="8" t="str">
        <f>VLOOKUP(A643,'mid_split_Annual Sub Sale'!F:F,1,0)</f>
        <v>#N/A</v>
      </c>
    </row>
    <row r="644">
      <c r="A644" s="9">
        <v>463662.0</v>
      </c>
      <c r="B644" s="8" t="str">
        <f>VLOOKUP(A644,'mid_split_Annual Sub Sale'!F:F,1,0)</f>
        <v>#N/A</v>
      </c>
    </row>
    <row r="645">
      <c r="A645" s="9">
        <v>424303.0</v>
      </c>
      <c r="B645" s="8" t="str">
        <f>VLOOKUP(A645,'mid_split_Annual Sub Sale'!F:F,1,0)</f>
        <v>#N/A</v>
      </c>
    </row>
    <row r="646">
      <c r="A646" s="9">
        <v>444785.0</v>
      </c>
      <c r="B646" s="8" t="str">
        <f>VLOOKUP(A646,'mid_split_Annual Sub Sale'!F:F,1,0)</f>
        <v>#N/A</v>
      </c>
    </row>
    <row r="647">
      <c r="A647" s="9">
        <v>434223.0</v>
      </c>
      <c r="B647" s="8" t="str">
        <f>VLOOKUP(A647,'mid_split_Annual Sub Sale'!F:F,1,0)</f>
        <v>#N/A</v>
      </c>
    </row>
    <row r="648">
      <c r="A648" s="9">
        <v>456997.0</v>
      </c>
      <c r="B648" s="8" t="str">
        <f>VLOOKUP(A648,'mid_split_Annual Sub Sale'!F:F,1,0)</f>
        <v>#N/A</v>
      </c>
    </row>
    <row r="649">
      <c r="A649" s="9">
        <v>427409.0</v>
      </c>
      <c r="B649" s="8" t="str">
        <f>VLOOKUP(A649,'mid_split_Annual Sub Sale'!F:F,1,0)</f>
        <v>#N/A</v>
      </c>
    </row>
    <row r="650">
      <c r="A650" s="9">
        <v>412202.0</v>
      </c>
      <c r="B650" s="8" t="str">
        <f>VLOOKUP(A650,'mid_split_Annual Sub Sale'!F:F,1,0)</f>
        <v>#N/A</v>
      </c>
    </row>
    <row r="651">
      <c r="A651" s="9">
        <v>486703.0</v>
      </c>
      <c r="B651" s="8" t="str">
        <f>VLOOKUP(A651,'mid_split_Annual Sub Sale'!F:F,1,0)</f>
        <v>#N/A</v>
      </c>
    </row>
    <row r="652">
      <c r="A652" s="9">
        <v>474253.0</v>
      </c>
      <c r="B652" s="8" t="str">
        <f>VLOOKUP(A652,'mid_split_Annual Sub Sale'!F:F,1,0)</f>
        <v>#N/A</v>
      </c>
    </row>
    <row r="653">
      <c r="A653" s="9">
        <v>460997.0</v>
      </c>
      <c r="B653" s="8" t="str">
        <f>VLOOKUP(A653,'mid_split_Annual Sub Sale'!F:F,1,0)</f>
        <v>#N/A</v>
      </c>
    </row>
    <row r="654">
      <c r="A654" s="9">
        <v>458016.0</v>
      </c>
      <c r="B654" s="8" t="str">
        <f>VLOOKUP(A654,'mid_split_Annual Sub Sale'!F:F,1,0)</f>
        <v>#N/A</v>
      </c>
    </row>
    <row r="655">
      <c r="A655" s="9">
        <v>445470.0</v>
      </c>
      <c r="B655" s="8" t="str">
        <f>VLOOKUP(A655,'mid_split_Annual Sub Sale'!F:F,1,0)</f>
        <v>#N/A</v>
      </c>
    </row>
    <row r="656">
      <c r="A656" s="9">
        <v>473327.0</v>
      </c>
      <c r="B656" s="8" t="str">
        <f>VLOOKUP(A656,'mid_split_Annual Sub Sale'!F:F,1,0)</f>
        <v>#N/A</v>
      </c>
    </row>
    <row r="657">
      <c r="A657" s="9">
        <v>404227.0</v>
      </c>
      <c r="B657" s="8" t="str">
        <f>VLOOKUP(A657,'mid_split_Annual Sub Sale'!F:F,1,0)</f>
        <v>#N/A</v>
      </c>
    </row>
    <row r="658">
      <c r="A658" s="9">
        <v>408950.0</v>
      </c>
      <c r="B658" s="8" t="str">
        <f>VLOOKUP(A658,'mid_split_Annual Sub Sale'!F:F,1,0)</f>
        <v>#N/A</v>
      </c>
    </row>
    <row r="659">
      <c r="A659" s="9">
        <v>457173.0</v>
      </c>
      <c r="B659" s="8" t="str">
        <f>VLOOKUP(A659,'mid_split_Annual Sub Sale'!F:F,1,0)</f>
        <v>#N/A</v>
      </c>
    </row>
    <row r="660">
      <c r="A660" s="9">
        <v>473063.0</v>
      </c>
      <c r="B660" s="8" t="str">
        <f>VLOOKUP(A660,'mid_split_Annual Sub Sale'!F:F,1,0)</f>
        <v>#N/A</v>
      </c>
    </row>
    <row r="661">
      <c r="A661" s="9">
        <v>477597.0</v>
      </c>
      <c r="B661" s="8" t="str">
        <f>VLOOKUP(A661,'mid_split_Annual Sub Sale'!F:F,1,0)</f>
        <v>#N/A</v>
      </c>
    </row>
    <row r="662">
      <c r="A662" s="9">
        <v>403103.0</v>
      </c>
      <c r="B662" s="8" t="str">
        <f>VLOOKUP(A662,'mid_split_Annual Sub Sale'!F:F,1,0)</f>
        <v>#N/A</v>
      </c>
    </row>
    <row r="663">
      <c r="A663" s="9">
        <v>498511.0</v>
      </c>
      <c r="B663" s="8" t="str">
        <f>VLOOKUP(A663,'mid_split_Annual Sub Sale'!F:F,1,0)</f>
        <v>#N/A</v>
      </c>
    </row>
    <row r="664">
      <c r="A664" s="9">
        <v>401532.0</v>
      </c>
      <c r="B664" s="8" t="str">
        <f>VLOOKUP(A664,'mid_split_Annual Sub Sale'!F:F,1,0)</f>
        <v>#N/A</v>
      </c>
    </row>
    <row r="665">
      <c r="A665" s="9">
        <v>442001.0</v>
      </c>
      <c r="B665" s="8" t="str">
        <f>VLOOKUP(A665,'mid_split_Annual Sub Sale'!F:F,1,0)</f>
        <v>#N/A</v>
      </c>
    </row>
    <row r="666">
      <c r="A666" s="9">
        <v>422311.0</v>
      </c>
      <c r="B666" s="8" t="str">
        <f>VLOOKUP(A666,'mid_split_Annual Sub Sale'!F:F,1,0)</f>
        <v>#N/A</v>
      </c>
    </row>
    <row r="667">
      <c r="A667" s="9">
        <v>478412.0</v>
      </c>
      <c r="B667" s="8" t="str">
        <f>VLOOKUP(A667,'mid_split_Annual Sub Sale'!F:F,1,0)</f>
        <v>#N/A</v>
      </c>
    </row>
    <row r="668">
      <c r="A668" s="9">
        <v>418539.0</v>
      </c>
      <c r="B668" s="8" t="str">
        <f>VLOOKUP(A668,'mid_split_Annual Sub Sale'!F:F,1,0)</f>
        <v>#N/A</v>
      </c>
    </row>
    <row r="669">
      <c r="A669" s="9">
        <v>475598.0</v>
      </c>
      <c r="B669" s="8" t="str">
        <f>VLOOKUP(A669,'mid_split_Annual Sub Sale'!F:F,1,0)</f>
        <v>#N/A</v>
      </c>
    </row>
    <row r="670">
      <c r="A670" s="9">
        <v>489201.0</v>
      </c>
      <c r="B670" s="8" t="str">
        <f>VLOOKUP(A670,'mid_split_Annual Sub Sale'!F:F,1,0)</f>
        <v>#N/A</v>
      </c>
    </row>
    <row r="671">
      <c r="A671" s="9">
        <v>464050.0</v>
      </c>
      <c r="B671" s="8" t="str">
        <f>VLOOKUP(A671,'mid_split_Annual Sub Sale'!F:F,1,0)</f>
        <v>#N/A</v>
      </c>
    </row>
    <row r="672">
      <c r="A672" s="9">
        <v>410846.0</v>
      </c>
      <c r="B672" s="8" t="str">
        <f>VLOOKUP(A672,'mid_split_Annual Sub Sale'!F:F,1,0)</f>
        <v>#N/A</v>
      </c>
    </row>
    <row r="673">
      <c r="A673" s="9">
        <v>426367.0</v>
      </c>
      <c r="B673" s="8" t="str">
        <f>VLOOKUP(A673,'mid_split_Annual Sub Sale'!F:F,1,0)</f>
        <v>#N/A</v>
      </c>
    </row>
    <row r="674">
      <c r="A674" s="9">
        <v>410801.0</v>
      </c>
      <c r="B674" s="8" t="str">
        <f>VLOOKUP(A674,'mid_split_Annual Sub Sale'!F:F,1,0)</f>
        <v>#N/A</v>
      </c>
    </row>
    <row r="675">
      <c r="A675" s="9">
        <v>492295.0</v>
      </c>
      <c r="B675" s="8" t="str">
        <f>VLOOKUP(A675,'mid_split_Annual Sub Sale'!F:F,1,0)</f>
        <v>#N/A</v>
      </c>
    </row>
    <row r="676">
      <c r="A676" s="9">
        <v>415491.0</v>
      </c>
      <c r="B676" s="8" t="str">
        <f>VLOOKUP(A676,'mid_split_Annual Sub Sale'!F:F,1,0)</f>
        <v>#N/A</v>
      </c>
    </row>
    <row r="677">
      <c r="A677" s="9">
        <v>447913.0</v>
      </c>
      <c r="B677" s="8" t="str">
        <f>VLOOKUP(A677,'mid_split_Annual Sub Sale'!F:F,1,0)</f>
        <v>#N/A</v>
      </c>
    </row>
    <row r="678">
      <c r="A678" s="9">
        <v>444357.0</v>
      </c>
      <c r="B678" s="8" t="str">
        <f>VLOOKUP(A678,'mid_split_Annual Sub Sale'!F:F,1,0)</f>
        <v>#N/A</v>
      </c>
    </row>
    <row r="679">
      <c r="A679" s="9">
        <v>433857.0</v>
      </c>
      <c r="B679" s="8" t="str">
        <f>VLOOKUP(A679,'mid_split_Annual Sub Sale'!F:F,1,0)</f>
        <v>#N/A</v>
      </c>
    </row>
    <row r="680">
      <c r="A680" s="9">
        <v>491080.0</v>
      </c>
      <c r="B680" s="8" t="str">
        <f>VLOOKUP(A680,'mid_split_Annual Sub Sale'!F:F,1,0)</f>
        <v>#N/A</v>
      </c>
    </row>
    <row r="681">
      <c r="A681" s="9">
        <v>481882.0</v>
      </c>
      <c r="B681" s="8" t="str">
        <f>VLOOKUP(A681,'mid_split_Annual Sub Sale'!F:F,1,0)</f>
        <v>#N/A</v>
      </c>
    </row>
    <row r="682">
      <c r="A682" s="9">
        <v>491520.0</v>
      </c>
      <c r="B682" s="8" t="str">
        <f>VLOOKUP(A682,'mid_split_Annual Sub Sale'!F:F,1,0)</f>
        <v>#N/A</v>
      </c>
    </row>
    <row r="683">
      <c r="A683" s="9">
        <v>403491.0</v>
      </c>
      <c r="B683" s="8" t="str">
        <f>VLOOKUP(A683,'mid_split_Annual Sub Sale'!F:F,1,0)</f>
        <v>#N/A</v>
      </c>
    </row>
    <row r="684">
      <c r="A684" s="9">
        <v>401788.0</v>
      </c>
      <c r="B684" s="8" t="str">
        <f>VLOOKUP(A684,'mid_split_Annual Sub Sale'!F:F,1,0)</f>
        <v>#N/A</v>
      </c>
    </row>
    <row r="685">
      <c r="A685" s="9">
        <v>444525.0</v>
      </c>
      <c r="B685" s="8" t="str">
        <f>VLOOKUP(A685,'mid_split_Annual Sub Sale'!F:F,1,0)</f>
        <v>#N/A</v>
      </c>
    </row>
    <row r="686">
      <c r="A686" s="9">
        <v>445035.0</v>
      </c>
      <c r="B686" s="8" t="str">
        <f>VLOOKUP(A686,'mid_split_Annual Sub Sale'!F:F,1,0)</f>
        <v>#N/A</v>
      </c>
    </row>
    <row r="687">
      <c r="A687" s="9">
        <v>413321.0</v>
      </c>
      <c r="B687" s="8" t="str">
        <f>VLOOKUP(A687,'mid_split_Annual Sub Sale'!F:F,1,0)</f>
        <v>#N/A</v>
      </c>
    </row>
    <row r="688">
      <c r="A688" s="9">
        <v>446891.0</v>
      </c>
      <c r="B688" s="8" t="str">
        <f>VLOOKUP(A688,'mid_split_Annual Sub Sale'!F:F,1,0)</f>
        <v>#N/A</v>
      </c>
    </row>
    <row r="689">
      <c r="A689" s="9">
        <v>416991.0</v>
      </c>
      <c r="B689" s="8" t="str">
        <f>VLOOKUP(A689,'mid_split_Annual Sub Sale'!F:F,1,0)</f>
        <v>#N/A</v>
      </c>
    </row>
    <row r="690">
      <c r="A690" s="9">
        <v>425421.0</v>
      </c>
      <c r="B690" s="8" t="str">
        <f>VLOOKUP(A690,'mid_split_Annual Sub Sale'!F:F,1,0)</f>
        <v>#N/A</v>
      </c>
    </row>
    <row r="691">
      <c r="A691" s="9">
        <v>439708.0</v>
      </c>
      <c r="B691" s="8" t="str">
        <f>VLOOKUP(A691,'mid_split_Annual Sub Sale'!F:F,1,0)</f>
        <v>#N/A</v>
      </c>
    </row>
    <row r="692">
      <c r="A692" s="9">
        <v>414579.0</v>
      </c>
      <c r="B692" s="8" t="str">
        <f>VLOOKUP(A692,'mid_split_Annual Sub Sale'!F:F,1,0)</f>
        <v>#N/A</v>
      </c>
    </row>
    <row r="693">
      <c r="A693" s="9">
        <v>466350.0</v>
      </c>
      <c r="B693" s="8" t="str">
        <f>VLOOKUP(A693,'mid_split_Annual Sub Sale'!F:F,1,0)</f>
        <v>#N/A</v>
      </c>
    </row>
    <row r="694">
      <c r="A694" s="9">
        <v>485631.0</v>
      </c>
      <c r="B694" s="8" t="str">
        <f>VLOOKUP(A694,'mid_split_Annual Sub Sale'!F:F,1,0)</f>
        <v>#N/A</v>
      </c>
    </row>
    <row r="695">
      <c r="A695" s="9">
        <v>447599.0</v>
      </c>
      <c r="B695" s="8" t="str">
        <f>VLOOKUP(A695,'mid_split_Annual Sub Sale'!F:F,1,0)</f>
        <v>#N/A</v>
      </c>
    </row>
    <row r="696">
      <c r="A696" s="9">
        <v>424187.0</v>
      </c>
      <c r="B696" s="8" t="str">
        <f>VLOOKUP(A696,'mid_split_Annual Sub Sale'!F:F,1,0)</f>
        <v>#N/A</v>
      </c>
    </row>
    <row r="697">
      <c r="A697" s="9">
        <v>401842.0</v>
      </c>
      <c r="B697" s="8" t="str">
        <f>VLOOKUP(A697,'mid_split_Annual Sub Sale'!F:F,1,0)</f>
        <v>#N/A</v>
      </c>
    </row>
    <row r="698">
      <c r="A698" s="9">
        <v>445206.0</v>
      </c>
      <c r="B698" s="8" t="str">
        <f>VLOOKUP(A698,'mid_split_Annual Sub Sale'!F:F,1,0)</f>
        <v>#N/A</v>
      </c>
    </row>
    <row r="699">
      <c r="A699" s="9">
        <v>481899.0</v>
      </c>
      <c r="B699" s="8" t="str">
        <f>VLOOKUP(A699,'mid_split_Annual Sub Sale'!F:F,1,0)</f>
        <v>#N/A</v>
      </c>
    </row>
    <row r="700">
      <c r="A700" s="9">
        <v>494656.0</v>
      </c>
      <c r="B700" s="8" t="str">
        <f>VLOOKUP(A700,'mid_split_Annual Sub Sale'!F:F,1,0)</f>
        <v>#N/A</v>
      </c>
    </row>
    <row r="701">
      <c r="A701" s="9">
        <v>457191.0</v>
      </c>
      <c r="B701" s="8" t="str">
        <f>VLOOKUP(A701,'mid_split_Annual Sub Sale'!F:F,1,0)</f>
        <v>#N/A</v>
      </c>
    </row>
    <row r="702">
      <c r="A702" s="9">
        <v>479125.0</v>
      </c>
      <c r="B702" s="8" t="str">
        <f>VLOOKUP(A702,'mid_split_Annual Sub Sale'!F:F,1,0)</f>
        <v>#N/A</v>
      </c>
    </row>
    <row r="703">
      <c r="A703" s="9">
        <v>403285.0</v>
      </c>
      <c r="B703" s="8" t="str">
        <f>VLOOKUP(A703,'mid_split_Annual Sub Sale'!F:F,1,0)</f>
        <v>#N/A</v>
      </c>
    </row>
    <row r="704">
      <c r="A704" s="9">
        <v>445012.0</v>
      </c>
      <c r="B704" s="8" t="str">
        <f>VLOOKUP(A704,'mid_split_Annual Sub Sale'!F:F,1,0)</f>
        <v>#N/A</v>
      </c>
    </row>
    <row r="705">
      <c r="A705" s="9">
        <v>402203.0</v>
      </c>
      <c r="B705" s="8" t="str">
        <f>VLOOKUP(A705,'mid_split_Annual Sub Sale'!F:F,1,0)</f>
        <v>#N/A</v>
      </c>
    </row>
    <row r="706">
      <c r="A706" s="9">
        <v>439397.0</v>
      </c>
      <c r="B706" s="8" t="str">
        <f>VLOOKUP(A706,'mid_split_Annual Sub Sale'!F:F,1,0)</f>
        <v>#N/A</v>
      </c>
    </row>
    <row r="707">
      <c r="A707" s="9">
        <v>412521.0</v>
      </c>
      <c r="B707" s="8" t="str">
        <f>VLOOKUP(A707,'mid_split_Annual Sub Sale'!F:F,1,0)</f>
        <v>#N/A</v>
      </c>
    </row>
    <row r="708">
      <c r="A708" s="9">
        <v>422210.0</v>
      </c>
      <c r="B708" s="8" t="str">
        <f>VLOOKUP(A708,'mid_split_Annual Sub Sale'!F:F,1,0)</f>
        <v>#N/A</v>
      </c>
    </row>
    <row r="709">
      <c r="A709" s="9">
        <v>489272.0</v>
      </c>
      <c r="B709" s="8" t="str">
        <f>VLOOKUP(A709,'mid_split_Annual Sub Sale'!F:F,1,0)</f>
        <v>#N/A</v>
      </c>
    </row>
    <row r="710">
      <c r="A710" s="9">
        <v>481133.0</v>
      </c>
      <c r="B710" s="8" t="str">
        <f>VLOOKUP(A710,'mid_split_Annual Sub Sale'!F:F,1,0)</f>
        <v>#N/A</v>
      </c>
    </row>
    <row r="711">
      <c r="A711" s="9">
        <v>483332.0</v>
      </c>
      <c r="B711" s="8" t="str">
        <f>VLOOKUP(A711,'mid_split_Annual Sub Sale'!F:F,1,0)</f>
        <v>#N/A</v>
      </c>
    </row>
    <row r="712">
      <c r="A712" s="9">
        <v>416377.0</v>
      </c>
      <c r="B712" s="8" t="str">
        <f>VLOOKUP(A712,'mid_split_Annual Sub Sale'!F:F,1,0)</f>
        <v>#N/A</v>
      </c>
    </row>
    <row r="713">
      <c r="A713" s="9">
        <v>423602.0</v>
      </c>
      <c r="B713" s="8" t="str">
        <f>VLOOKUP(A713,'mid_split_Annual Sub Sale'!F:F,1,0)</f>
        <v>#N/A</v>
      </c>
    </row>
    <row r="714">
      <c r="A714" s="9">
        <v>443112.0</v>
      </c>
      <c r="B714" s="8" t="str">
        <f>VLOOKUP(A714,'mid_split_Annual Sub Sale'!F:F,1,0)</f>
        <v>#N/A</v>
      </c>
    </row>
    <row r="715">
      <c r="A715" s="9">
        <v>425167.0</v>
      </c>
      <c r="B715" s="8" t="str">
        <f>VLOOKUP(A715,'mid_split_Annual Sub Sale'!F:F,1,0)</f>
        <v>#N/A</v>
      </c>
    </row>
    <row r="716">
      <c r="A716" s="9">
        <v>415996.0</v>
      </c>
      <c r="B716" s="8" t="str">
        <f>VLOOKUP(A716,'mid_split_Annual Sub Sale'!F:F,1,0)</f>
        <v>#N/A</v>
      </c>
    </row>
    <row r="717">
      <c r="A717" s="9">
        <v>432867.0</v>
      </c>
      <c r="B717" s="8" t="str">
        <f>VLOOKUP(A717,'mid_split_Annual Sub Sale'!F:F,1,0)</f>
        <v>#N/A</v>
      </c>
    </row>
    <row r="718">
      <c r="A718" s="9">
        <v>485584.0</v>
      </c>
      <c r="B718" s="8" t="str">
        <f>VLOOKUP(A718,'mid_split_Annual Sub Sale'!F:F,1,0)</f>
        <v>#N/A</v>
      </c>
    </row>
    <row r="719">
      <c r="A719" s="9">
        <v>479167.0</v>
      </c>
      <c r="B719" s="8" t="str">
        <f>VLOOKUP(A719,'mid_split_Annual Sub Sale'!F:F,1,0)</f>
        <v>#N/A</v>
      </c>
    </row>
    <row r="720">
      <c r="A720" s="9">
        <v>412908.0</v>
      </c>
      <c r="B720" s="8" t="str">
        <f>VLOOKUP(A720,'mid_split_Annual Sub Sale'!F:F,1,0)</f>
        <v>#N/A</v>
      </c>
    </row>
    <row r="721">
      <c r="A721" s="9">
        <v>472660.0</v>
      </c>
      <c r="B721" s="8" t="str">
        <f>VLOOKUP(A721,'mid_split_Annual Sub Sale'!F:F,1,0)</f>
        <v>#N/A</v>
      </c>
    </row>
    <row r="722">
      <c r="A722" s="9">
        <v>405301.0</v>
      </c>
      <c r="B722" s="8" t="str">
        <f>VLOOKUP(A722,'mid_split_Annual Sub Sale'!F:F,1,0)</f>
        <v>#N/A</v>
      </c>
    </row>
    <row r="723">
      <c r="A723" s="9">
        <v>453827.0</v>
      </c>
      <c r="B723" s="8" t="str">
        <f>VLOOKUP(A723,'mid_split_Annual Sub Sale'!F:F,1,0)</f>
        <v>#N/A</v>
      </c>
    </row>
    <row r="724">
      <c r="A724" s="9">
        <v>457013.0</v>
      </c>
      <c r="B724" s="8" t="str">
        <f>VLOOKUP(A724,'mid_split_Annual Sub Sale'!F:F,1,0)</f>
        <v>#N/A</v>
      </c>
    </row>
    <row r="725">
      <c r="A725" s="9">
        <v>497152.0</v>
      </c>
      <c r="B725" s="8" t="str">
        <f>VLOOKUP(A725,'mid_split_Annual Sub Sale'!F:F,1,0)</f>
        <v>#N/A</v>
      </c>
    </row>
    <row r="726">
      <c r="A726" s="9">
        <v>497696.0</v>
      </c>
      <c r="B726" s="8" t="str">
        <f>VLOOKUP(A726,'mid_split_Annual Sub Sale'!F:F,1,0)</f>
        <v>#N/A</v>
      </c>
    </row>
    <row r="727">
      <c r="A727" s="9">
        <v>457193.0</v>
      </c>
      <c r="B727" s="8" t="str">
        <f>VLOOKUP(A727,'mid_split_Annual Sub Sale'!F:F,1,0)</f>
        <v>#N/A</v>
      </c>
    </row>
    <row r="728">
      <c r="A728" s="9">
        <v>478855.0</v>
      </c>
      <c r="B728" s="8" t="str">
        <f>VLOOKUP(A728,'mid_split_Annual Sub Sale'!F:F,1,0)</f>
        <v>#N/A</v>
      </c>
    </row>
    <row r="729">
      <c r="A729" s="9">
        <v>427679.0</v>
      </c>
      <c r="B729" s="8" t="str">
        <f>VLOOKUP(A729,'mid_split_Annual Sub Sale'!F:F,1,0)</f>
        <v>#N/A</v>
      </c>
    </row>
    <row r="730">
      <c r="A730" s="9">
        <v>482068.0</v>
      </c>
      <c r="B730" s="8" t="str">
        <f>VLOOKUP(A730,'mid_split_Annual Sub Sale'!F:F,1,0)</f>
        <v>#N/A</v>
      </c>
    </row>
    <row r="731">
      <c r="A731" s="9">
        <v>418021.0</v>
      </c>
      <c r="B731" s="8" t="str">
        <f>VLOOKUP(A731,'mid_split_Annual Sub Sale'!F:F,1,0)</f>
        <v>#N/A</v>
      </c>
    </row>
    <row r="732">
      <c r="A732" s="9">
        <v>455851.0</v>
      </c>
      <c r="B732" s="8" t="str">
        <f>VLOOKUP(A732,'mid_split_Annual Sub Sale'!F:F,1,0)</f>
        <v>#N/A</v>
      </c>
    </row>
    <row r="733">
      <c r="A733" s="9">
        <v>469514.0</v>
      </c>
      <c r="B733" s="8" t="str">
        <f>VLOOKUP(A733,'mid_split_Annual Sub Sale'!F:F,1,0)</f>
        <v>#N/A</v>
      </c>
    </row>
    <row r="734">
      <c r="A734" s="9">
        <v>424851.0</v>
      </c>
      <c r="B734" s="8" t="str">
        <f>VLOOKUP(A734,'mid_split_Annual Sub Sale'!F:F,1,0)</f>
        <v>#N/A</v>
      </c>
    </row>
    <row r="735">
      <c r="A735" s="9">
        <v>433797.0</v>
      </c>
      <c r="B735" s="8" t="str">
        <f>VLOOKUP(A735,'mid_split_Annual Sub Sale'!F:F,1,0)</f>
        <v>#N/A</v>
      </c>
    </row>
    <row r="736">
      <c r="A736" s="9">
        <v>457172.0</v>
      </c>
      <c r="B736" s="8" t="str">
        <f>VLOOKUP(A736,'mid_split_Annual Sub Sale'!F:F,1,0)</f>
        <v>#N/A</v>
      </c>
    </row>
    <row r="737">
      <c r="A737" s="9">
        <v>479289.0</v>
      </c>
      <c r="B737" s="8" t="str">
        <f>VLOOKUP(A737,'mid_split_Annual Sub Sale'!F:F,1,0)</f>
        <v>#N/A</v>
      </c>
    </row>
    <row r="738">
      <c r="A738" s="9">
        <v>427096.0</v>
      </c>
      <c r="B738" s="8" t="str">
        <f>VLOOKUP(A738,'mid_split_Annual Sub Sale'!F:F,1,0)</f>
        <v>#N/A</v>
      </c>
    </row>
    <row r="739">
      <c r="A739" s="9">
        <v>451029.0</v>
      </c>
      <c r="B739" s="8" t="str">
        <f>VLOOKUP(A739,'mid_split_Annual Sub Sale'!F:F,1,0)</f>
        <v>#N/A</v>
      </c>
    </row>
    <row r="740">
      <c r="A740" s="9">
        <v>416411.0</v>
      </c>
      <c r="B740" s="8" t="str">
        <f>VLOOKUP(A740,'mid_split_Annual Sub Sale'!F:F,1,0)</f>
        <v>#N/A</v>
      </c>
    </row>
    <row r="741">
      <c r="A741" s="9">
        <v>478792.0</v>
      </c>
      <c r="B741" s="8" t="str">
        <f>VLOOKUP(A741,'mid_split_Annual Sub Sale'!F:F,1,0)</f>
        <v>#N/A</v>
      </c>
    </row>
    <row r="742">
      <c r="A742" s="9">
        <v>449406.0</v>
      </c>
      <c r="B742" s="8" t="str">
        <f>VLOOKUP(A742,'mid_split_Annual Sub Sale'!F:F,1,0)</f>
        <v>#N/A</v>
      </c>
    </row>
    <row r="743">
      <c r="A743" s="9">
        <v>432439.0</v>
      </c>
      <c r="B743" s="8" t="str">
        <f>VLOOKUP(A743,'mid_split_Annual Sub Sale'!F:F,1,0)</f>
        <v>#N/A</v>
      </c>
    </row>
    <row r="744">
      <c r="A744" s="9">
        <v>458088.0</v>
      </c>
      <c r="B744" s="8" t="str">
        <f>VLOOKUP(A744,'mid_split_Annual Sub Sale'!F:F,1,0)</f>
        <v>#N/A</v>
      </c>
    </row>
    <row r="745">
      <c r="A745" s="9">
        <v>477226.0</v>
      </c>
      <c r="B745" s="8" t="str">
        <f>VLOOKUP(A745,'mid_split_Annual Sub Sale'!F:F,1,0)</f>
        <v>#N/A</v>
      </c>
    </row>
    <row r="746">
      <c r="A746" s="9">
        <v>497601.0</v>
      </c>
      <c r="B746" s="8" t="str">
        <f>VLOOKUP(A746,'mid_split_Annual Sub Sale'!F:F,1,0)</f>
        <v>#N/A</v>
      </c>
    </row>
    <row r="747">
      <c r="A747" s="9">
        <v>429117.0</v>
      </c>
      <c r="B747" s="8" t="str">
        <f>VLOOKUP(A747,'mid_split_Annual Sub Sale'!F:F,1,0)</f>
        <v>#N/A</v>
      </c>
    </row>
    <row r="748">
      <c r="A748" s="9">
        <v>440083.0</v>
      </c>
      <c r="B748" s="8" t="str">
        <f>VLOOKUP(A748,'mid_split_Annual Sub Sale'!F:F,1,0)</f>
        <v>#N/A</v>
      </c>
    </row>
    <row r="749">
      <c r="A749" s="9">
        <v>427671.0</v>
      </c>
      <c r="B749" s="8" t="str">
        <f>VLOOKUP(A749,'mid_split_Annual Sub Sale'!F:F,1,0)</f>
        <v>#N/A</v>
      </c>
    </row>
    <row r="750">
      <c r="A750" s="9">
        <v>436774.0</v>
      </c>
      <c r="B750" s="8" t="str">
        <f>VLOOKUP(A750,'mid_split_Annual Sub Sale'!F:F,1,0)</f>
        <v>#N/A</v>
      </c>
    </row>
    <row r="751">
      <c r="A751" s="9">
        <v>469049.0</v>
      </c>
      <c r="B751" s="8" t="str">
        <f>VLOOKUP(A751,'mid_split_Annual Sub Sale'!F:F,1,0)</f>
        <v>#N/A</v>
      </c>
    </row>
    <row r="752">
      <c r="A752" s="9">
        <v>453625.0</v>
      </c>
      <c r="B752" s="8" t="str">
        <f>VLOOKUP(A752,'mid_split_Annual Sub Sale'!F:F,1,0)</f>
        <v>#N/A</v>
      </c>
    </row>
    <row r="753">
      <c r="A753" s="9">
        <v>478974.0</v>
      </c>
      <c r="B753" s="8" t="str">
        <f>VLOOKUP(A753,'mid_split_Annual Sub Sale'!F:F,1,0)</f>
        <v>#N/A</v>
      </c>
    </row>
    <row r="754">
      <c r="A754" s="9">
        <v>461264.0</v>
      </c>
      <c r="B754" s="8" t="str">
        <f>VLOOKUP(A754,'mid_split_Annual Sub Sale'!F:F,1,0)</f>
        <v>#N/A</v>
      </c>
    </row>
    <row r="755">
      <c r="A755" s="9">
        <v>439348.0</v>
      </c>
      <c r="B755" s="8" t="str">
        <f>VLOOKUP(A755,'mid_split_Annual Sub Sale'!F:F,1,0)</f>
        <v>#N/A</v>
      </c>
    </row>
    <row r="756">
      <c r="A756" s="9">
        <v>473935.0</v>
      </c>
      <c r="B756" s="8" t="str">
        <f>VLOOKUP(A756,'mid_split_Annual Sub Sale'!F:F,1,0)</f>
        <v>#N/A</v>
      </c>
    </row>
    <row r="757">
      <c r="A757" s="9">
        <v>421010.0</v>
      </c>
      <c r="B757" s="8" t="str">
        <f>VLOOKUP(A757,'mid_split_Annual Sub Sale'!F:F,1,0)</f>
        <v>#N/A</v>
      </c>
    </row>
    <row r="758">
      <c r="A758" s="9">
        <v>410839.0</v>
      </c>
      <c r="B758" s="8" t="str">
        <f>VLOOKUP(A758,'mid_split_Annual Sub Sale'!F:F,1,0)</f>
        <v>#N/A</v>
      </c>
    </row>
    <row r="759">
      <c r="A759" s="9">
        <v>403786.0</v>
      </c>
      <c r="B759" s="8" t="str">
        <f>VLOOKUP(A759,'mid_split_Annual Sub Sale'!F:F,1,0)</f>
        <v>#N/A</v>
      </c>
    </row>
    <row r="760">
      <c r="A760" s="9">
        <v>426685.0</v>
      </c>
      <c r="B760" s="8" t="str">
        <f>VLOOKUP(A760,'mid_split_Annual Sub Sale'!F:F,1,0)</f>
        <v>#N/A</v>
      </c>
    </row>
    <row r="761">
      <c r="A761" s="9">
        <v>481145.0</v>
      </c>
      <c r="B761" s="8" t="str">
        <f>VLOOKUP(A761,'mid_split_Annual Sub Sale'!F:F,1,0)</f>
        <v>#N/A</v>
      </c>
    </row>
    <row r="762">
      <c r="A762" s="9">
        <v>452419.0</v>
      </c>
      <c r="B762" s="8" t="str">
        <f>VLOOKUP(A762,'mid_split_Annual Sub Sale'!F:F,1,0)</f>
        <v>#N/A</v>
      </c>
    </row>
    <row r="763">
      <c r="A763" s="9">
        <v>427167.0</v>
      </c>
      <c r="B763" s="8" t="str">
        <f>VLOOKUP(A763,'mid_split_Annual Sub Sale'!F:F,1,0)</f>
        <v>#N/A</v>
      </c>
    </row>
    <row r="764">
      <c r="A764" s="9">
        <v>480643.0</v>
      </c>
      <c r="B764" s="8" t="str">
        <f>VLOOKUP(A764,'mid_split_Annual Sub Sale'!F:F,1,0)</f>
        <v>#N/A</v>
      </c>
    </row>
    <row r="765">
      <c r="A765" s="9">
        <v>473311.0</v>
      </c>
      <c r="B765" s="8" t="str">
        <f>VLOOKUP(A765,'mid_split_Annual Sub Sale'!F:F,1,0)</f>
        <v>#N/A</v>
      </c>
    </row>
    <row r="766">
      <c r="A766" s="9">
        <v>497142.0</v>
      </c>
      <c r="B766" s="8" t="str">
        <f>VLOOKUP(A766,'mid_split_Annual Sub Sale'!F:F,1,0)</f>
        <v>#N/A</v>
      </c>
    </row>
    <row r="767">
      <c r="A767" s="9">
        <v>448224.0</v>
      </c>
      <c r="B767" s="8" t="str">
        <f>VLOOKUP(A767,'mid_split_Annual Sub Sale'!F:F,1,0)</f>
        <v>#N/A</v>
      </c>
    </row>
    <row r="768">
      <c r="A768" s="9">
        <v>425300.0</v>
      </c>
      <c r="B768" s="8" t="str">
        <f>VLOOKUP(A768,'mid_split_Annual Sub Sale'!F:F,1,0)</f>
        <v>#N/A</v>
      </c>
    </row>
    <row r="769">
      <c r="A769" s="9">
        <v>421604.0</v>
      </c>
      <c r="B769" s="8" t="str">
        <f>VLOOKUP(A769,'mid_split_Annual Sub Sale'!F:F,1,0)</f>
        <v>#N/A</v>
      </c>
    </row>
    <row r="770">
      <c r="A770" s="9">
        <v>444698.0</v>
      </c>
      <c r="B770" s="8" t="str">
        <f>VLOOKUP(A770,'mid_split_Annual Sub Sale'!F:F,1,0)</f>
        <v>#N/A</v>
      </c>
    </row>
    <row r="771">
      <c r="A771" s="9">
        <v>409803.0</v>
      </c>
      <c r="B771" s="8" t="str">
        <f>VLOOKUP(A771,'mid_split_Annual Sub Sale'!F:F,1,0)</f>
        <v>#N/A</v>
      </c>
    </row>
    <row r="772">
      <c r="A772" s="9">
        <v>480161.0</v>
      </c>
      <c r="B772" s="8" t="str">
        <f>VLOOKUP(A772,'mid_split_Annual Sub Sale'!F:F,1,0)</f>
        <v>#N/A</v>
      </c>
    </row>
    <row r="773">
      <c r="A773" s="9">
        <v>410843.0</v>
      </c>
      <c r="B773" s="8" t="str">
        <f>VLOOKUP(A773,'mid_split_Annual Sub Sale'!F:F,1,0)</f>
        <v>#N/A</v>
      </c>
    </row>
    <row r="774">
      <c r="A774" s="9">
        <v>475085.0</v>
      </c>
      <c r="B774" s="8" t="str">
        <f>VLOOKUP(A774,'mid_split_Annual Sub Sale'!F:F,1,0)</f>
        <v>#N/A</v>
      </c>
    </row>
    <row r="775">
      <c r="A775" s="9">
        <v>418238.0</v>
      </c>
      <c r="B775" s="8" t="str">
        <f>VLOOKUP(A775,'mid_split_Annual Sub Sale'!F:F,1,0)</f>
        <v>#N/A</v>
      </c>
    </row>
    <row r="776">
      <c r="A776" s="9">
        <v>457159.0</v>
      </c>
      <c r="B776" s="8" t="str">
        <f>VLOOKUP(A776,'mid_split_Annual Sub Sale'!F:F,1,0)</f>
        <v>#N/A</v>
      </c>
    </row>
    <row r="777">
      <c r="A777" s="9">
        <v>461019.0</v>
      </c>
      <c r="B777" s="8" t="str">
        <f>VLOOKUP(A777,'mid_split_Annual Sub Sale'!F:F,1,0)</f>
        <v>#N/A</v>
      </c>
    </row>
    <row r="778">
      <c r="A778" s="9">
        <v>465451.0</v>
      </c>
      <c r="B778" s="8" t="str">
        <f>VLOOKUP(A778,'mid_split_Annual Sub Sale'!F:F,1,0)</f>
        <v>#N/A</v>
      </c>
    </row>
    <row r="779">
      <c r="A779" s="9">
        <v>420027.0</v>
      </c>
      <c r="B779" s="8" t="str">
        <f>VLOOKUP(A779,'mid_split_Annual Sub Sale'!F:F,1,0)</f>
        <v>#N/A</v>
      </c>
    </row>
    <row r="780">
      <c r="A780" s="9">
        <v>456071.0</v>
      </c>
      <c r="B780" s="8" t="str">
        <f>VLOOKUP(A780,'mid_split_Annual Sub Sale'!F:F,1,0)</f>
        <v>#N/A</v>
      </c>
    </row>
    <row r="781">
      <c r="A781" s="9">
        <v>459694.0</v>
      </c>
      <c r="B781" s="8" t="str">
        <f>VLOOKUP(A781,'mid_split_Annual Sub Sale'!F:F,1,0)</f>
        <v>#N/A</v>
      </c>
    </row>
    <row r="782">
      <c r="A782" s="9">
        <v>452329.0</v>
      </c>
      <c r="B782" s="8" t="str">
        <f>VLOOKUP(A782,'mid_split_Annual Sub Sale'!F:F,1,0)</f>
        <v>#N/A</v>
      </c>
    </row>
    <row r="783">
      <c r="A783" s="9">
        <v>483215.0</v>
      </c>
      <c r="B783" s="8" t="str">
        <f>VLOOKUP(A783,'mid_split_Annual Sub Sale'!F:F,1,0)</f>
        <v>#N/A</v>
      </c>
    </row>
    <row r="784">
      <c r="A784" s="9">
        <v>438787.0</v>
      </c>
      <c r="B784" s="8" t="str">
        <f>VLOOKUP(A784,'mid_split_Annual Sub Sale'!F:F,1,0)</f>
        <v>#N/A</v>
      </c>
    </row>
    <row r="785">
      <c r="A785" s="9">
        <v>424653.0</v>
      </c>
      <c r="B785" s="8" t="str">
        <f>VLOOKUP(A785,'mid_split_Annual Sub Sale'!F:F,1,0)</f>
        <v>#N/A</v>
      </c>
    </row>
    <row r="786">
      <c r="A786" s="9">
        <v>492113.0</v>
      </c>
      <c r="B786" s="8" t="str">
        <f>VLOOKUP(A786,'mid_split_Annual Sub Sale'!F:F,1,0)</f>
        <v>#N/A</v>
      </c>
    </row>
    <row r="787">
      <c r="A787" s="9">
        <v>475211.0</v>
      </c>
      <c r="B787" s="8" t="str">
        <f>VLOOKUP(A787,'mid_split_Annual Sub Sale'!F:F,1,0)</f>
        <v>#N/A</v>
      </c>
    </row>
    <row r="788">
      <c r="A788" s="9">
        <v>430552.0</v>
      </c>
      <c r="B788" s="8" t="str">
        <f>VLOOKUP(A788,'mid_split_Annual Sub Sale'!F:F,1,0)</f>
        <v>#N/A</v>
      </c>
    </row>
    <row r="789">
      <c r="A789" s="9">
        <v>478891.0</v>
      </c>
      <c r="B789" s="8" t="str">
        <f>VLOOKUP(A789,'mid_split_Annual Sub Sale'!F:F,1,0)</f>
        <v>#N/A</v>
      </c>
    </row>
    <row r="790">
      <c r="A790" s="9">
        <v>465272.0</v>
      </c>
      <c r="B790" s="8" t="str">
        <f>VLOOKUP(A790,'mid_split_Annual Sub Sale'!F:F,1,0)</f>
        <v>#N/A</v>
      </c>
    </row>
    <row r="791">
      <c r="A791" s="9">
        <v>400226.0</v>
      </c>
      <c r="B791" s="8" t="str">
        <f>VLOOKUP(A791,'mid_split_Annual Sub Sale'!F:F,1,0)</f>
        <v>#N/A</v>
      </c>
    </row>
    <row r="792">
      <c r="A792" s="9">
        <v>453531.0</v>
      </c>
      <c r="B792" s="8" t="str">
        <f>VLOOKUP(A792,'mid_split_Annual Sub Sale'!F:F,1,0)</f>
        <v>#N/A</v>
      </c>
    </row>
    <row r="793">
      <c r="A793" s="9">
        <v>413843.0</v>
      </c>
      <c r="B793" s="8" t="str">
        <f>VLOOKUP(A793,'mid_split_Annual Sub Sale'!F:F,1,0)</f>
        <v>#N/A</v>
      </c>
    </row>
    <row r="794">
      <c r="A794" s="9">
        <v>448297.0</v>
      </c>
      <c r="B794" s="8" t="str">
        <f>VLOOKUP(A794,'mid_split_Annual Sub Sale'!F:F,1,0)</f>
        <v>#N/A</v>
      </c>
    </row>
    <row r="795">
      <c r="A795" s="9">
        <v>434623.0</v>
      </c>
      <c r="B795" s="8" t="str">
        <f>VLOOKUP(A795,'mid_split_Annual Sub Sale'!F:F,1,0)</f>
        <v>#N/A</v>
      </c>
    </row>
    <row r="796">
      <c r="A796" s="9">
        <v>449102.0</v>
      </c>
      <c r="B796" s="8" t="str">
        <f>VLOOKUP(A796,'mid_split_Annual Sub Sale'!F:F,1,0)</f>
        <v>#N/A</v>
      </c>
    </row>
    <row r="797">
      <c r="A797" s="9">
        <v>443475.0</v>
      </c>
      <c r="B797" s="8" t="str">
        <f>VLOOKUP(A797,'mid_split_Annual Sub Sale'!F:F,1,0)</f>
        <v>#N/A</v>
      </c>
    </row>
    <row r="798">
      <c r="A798" s="9">
        <v>443238.0</v>
      </c>
      <c r="B798" s="8" t="str">
        <f>VLOOKUP(A798,'mid_split_Annual Sub Sale'!F:F,1,0)</f>
        <v>#N/A</v>
      </c>
    </row>
    <row r="799">
      <c r="A799" s="9">
        <v>474639.0</v>
      </c>
      <c r="B799" s="8" t="str">
        <f>VLOOKUP(A799,'mid_split_Annual Sub Sale'!F:F,1,0)</f>
        <v>#N/A</v>
      </c>
    </row>
    <row r="800">
      <c r="A800" s="9">
        <v>426423.0</v>
      </c>
      <c r="B800" s="8" t="str">
        <f>VLOOKUP(A800,'mid_split_Annual Sub Sale'!F:F,1,0)</f>
        <v>#N/A</v>
      </c>
    </row>
    <row r="801">
      <c r="A801" s="9">
        <v>449621.0</v>
      </c>
      <c r="B801" s="8" t="str">
        <f>VLOOKUP(A801,'mid_split_Annual Sub Sale'!F:F,1,0)</f>
        <v>#N/A</v>
      </c>
    </row>
    <row r="802">
      <c r="A802" s="9">
        <v>413987.0</v>
      </c>
      <c r="B802" s="8" t="str">
        <f>VLOOKUP(A802,'mid_split_Annual Sub Sale'!F:F,1,0)</f>
        <v>#N/A</v>
      </c>
    </row>
    <row r="803">
      <c r="A803" s="9">
        <v>473151.0</v>
      </c>
      <c r="B803" s="8" t="str">
        <f>VLOOKUP(A803,'mid_split_Annual Sub Sale'!F:F,1,0)</f>
        <v>#N/A</v>
      </c>
    </row>
    <row r="804">
      <c r="A804" s="9">
        <v>441732.0</v>
      </c>
      <c r="B804" s="8" t="str">
        <f>VLOOKUP(A804,'mid_split_Annual Sub Sale'!F:F,1,0)</f>
        <v>#N/A</v>
      </c>
    </row>
    <row r="805">
      <c r="A805" s="9">
        <v>465968.0</v>
      </c>
      <c r="B805" s="8" t="str">
        <f>VLOOKUP(A805,'mid_split_Annual Sub Sale'!F:F,1,0)</f>
        <v>#N/A</v>
      </c>
    </row>
    <row r="806">
      <c r="A806" s="9">
        <v>405627.0</v>
      </c>
      <c r="B806" s="8" t="str">
        <f>VLOOKUP(A806,'mid_split_Annual Sub Sale'!F:F,1,0)</f>
        <v>#N/A</v>
      </c>
    </row>
    <row r="807">
      <c r="A807" s="9">
        <v>411653.0</v>
      </c>
      <c r="B807" s="8" t="str">
        <f>VLOOKUP(A807,'mid_split_Annual Sub Sale'!F:F,1,0)</f>
        <v>#N/A</v>
      </c>
    </row>
    <row r="808">
      <c r="A808" s="9">
        <v>447344.0</v>
      </c>
      <c r="B808" s="8" t="str">
        <f>VLOOKUP(A808,'mid_split_Annual Sub Sale'!F:F,1,0)</f>
        <v>#N/A</v>
      </c>
    </row>
    <row r="809">
      <c r="A809" s="9">
        <v>441735.0</v>
      </c>
      <c r="B809" s="8" t="str">
        <f>VLOOKUP(A809,'mid_split_Annual Sub Sale'!F:F,1,0)</f>
        <v>#N/A</v>
      </c>
    </row>
    <row r="810">
      <c r="A810" s="9">
        <v>447664.0</v>
      </c>
      <c r="B810" s="8" t="str">
        <f>VLOOKUP(A810,'mid_split_Annual Sub Sale'!F:F,1,0)</f>
        <v>#N/A</v>
      </c>
    </row>
    <row r="811">
      <c r="A811" s="9">
        <v>401867.0</v>
      </c>
      <c r="B811" s="8" t="str">
        <f>VLOOKUP(A811,'mid_split_Annual Sub Sale'!F:F,1,0)</f>
        <v>#N/A</v>
      </c>
    </row>
    <row r="812">
      <c r="A812" s="9">
        <v>477841.0</v>
      </c>
      <c r="B812" s="8" t="str">
        <f>VLOOKUP(A812,'mid_split_Annual Sub Sale'!F:F,1,0)</f>
        <v>#N/A</v>
      </c>
    </row>
    <row r="813">
      <c r="A813" s="9">
        <v>409299.0</v>
      </c>
      <c r="B813" s="8" t="str">
        <f>VLOOKUP(A813,'mid_split_Annual Sub Sale'!F:F,1,0)</f>
        <v>#N/A</v>
      </c>
    </row>
    <row r="814">
      <c r="A814" s="9">
        <v>490433.0</v>
      </c>
      <c r="B814" s="8" t="str">
        <f>VLOOKUP(A814,'mid_split_Annual Sub Sale'!F:F,1,0)</f>
        <v>#N/A</v>
      </c>
    </row>
    <row r="815">
      <c r="A815" s="9">
        <v>420477.0</v>
      </c>
      <c r="B815" s="8" t="str">
        <f>VLOOKUP(A815,'mid_split_Annual Sub Sale'!F:F,1,0)</f>
        <v>#N/A</v>
      </c>
    </row>
    <row r="816">
      <c r="A816" s="9">
        <v>449172.0</v>
      </c>
      <c r="B816" s="8" t="str">
        <f>VLOOKUP(A816,'mid_split_Annual Sub Sale'!F:F,1,0)</f>
        <v>#N/A</v>
      </c>
    </row>
    <row r="817">
      <c r="A817" s="9">
        <v>424336.0</v>
      </c>
      <c r="B817" s="8" t="str">
        <f>VLOOKUP(A817,'mid_split_Annual Sub Sale'!F:F,1,0)</f>
        <v>#N/A</v>
      </c>
    </row>
    <row r="818">
      <c r="A818" s="9">
        <v>495018.0</v>
      </c>
      <c r="B818" s="8" t="str">
        <f>VLOOKUP(A818,'mid_split_Annual Sub Sale'!F:F,1,0)</f>
        <v>#N/A</v>
      </c>
    </row>
    <row r="819">
      <c r="A819" s="9">
        <v>491650.0</v>
      </c>
      <c r="B819" s="8" t="str">
        <f>VLOOKUP(A819,'mid_split_Annual Sub Sale'!F:F,1,0)</f>
        <v>#N/A</v>
      </c>
    </row>
    <row r="820">
      <c r="A820" s="9">
        <v>460738.0</v>
      </c>
      <c r="B820" s="8" t="str">
        <f>VLOOKUP(A820,'mid_split_Annual Sub Sale'!F:F,1,0)</f>
        <v>#N/A</v>
      </c>
    </row>
    <row r="821">
      <c r="A821" s="9">
        <v>443207.0</v>
      </c>
      <c r="B821" s="8" t="str">
        <f>VLOOKUP(A821,'mid_split_Annual Sub Sale'!F:F,1,0)</f>
        <v>#N/A</v>
      </c>
    </row>
    <row r="822">
      <c r="A822" s="9">
        <v>481116.0</v>
      </c>
      <c r="B822" s="8" t="str">
        <f>VLOOKUP(A822,'mid_split_Annual Sub Sale'!F:F,1,0)</f>
        <v>#N/A</v>
      </c>
    </row>
    <row r="823">
      <c r="A823" s="9">
        <v>453601.0</v>
      </c>
      <c r="B823" s="8" t="str">
        <f>VLOOKUP(A823,'mid_split_Annual Sub Sale'!F:F,1,0)</f>
        <v>#N/A</v>
      </c>
    </row>
    <row r="824">
      <c r="A824" s="9">
        <v>483730.0</v>
      </c>
      <c r="B824" s="8" t="str">
        <f>VLOOKUP(A824,'mid_split_Annual Sub Sale'!F:F,1,0)</f>
        <v>#N/A</v>
      </c>
    </row>
    <row r="825">
      <c r="A825" s="9">
        <v>425931.0</v>
      </c>
      <c r="B825" s="8" t="str">
        <f>VLOOKUP(A825,'mid_split_Annual Sub Sale'!F:F,1,0)</f>
        <v>#N/A</v>
      </c>
    </row>
    <row r="826">
      <c r="A826" s="9">
        <v>447279.0</v>
      </c>
      <c r="B826" s="8" t="str">
        <f>VLOOKUP(A826,'mid_split_Annual Sub Sale'!F:F,1,0)</f>
        <v>#N/A</v>
      </c>
    </row>
    <row r="827">
      <c r="A827" s="9">
        <v>413112.0</v>
      </c>
      <c r="B827" s="8" t="str">
        <f>VLOOKUP(A827,'mid_split_Annual Sub Sale'!F:F,1,0)</f>
        <v>#N/A</v>
      </c>
    </row>
    <row r="828">
      <c r="A828" s="9">
        <v>482892.0</v>
      </c>
      <c r="B828" s="8" t="str">
        <f>VLOOKUP(A828,'mid_split_Annual Sub Sale'!F:F,1,0)</f>
        <v>#N/A</v>
      </c>
    </row>
    <row r="829">
      <c r="A829" s="9">
        <v>494139.0</v>
      </c>
      <c r="B829" s="8" t="str">
        <f>VLOOKUP(A829,'mid_split_Annual Sub Sale'!F:F,1,0)</f>
        <v>#N/A</v>
      </c>
    </row>
    <row r="830">
      <c r="A830" s="9">
        <v>457730.0</v>
      </c>
      <c r="B830" s="8" t="str">
        <f>VLOOKUP(A830,'mid_split_Annual Sub Sale'!F:F,1,0)</f>
        <v>#N/A</v>
      </c>
    </row>
    <row r="831">
      <c r="A831" s="9">
        <v>403239.0</v>
      </c>
      <c r="B831" s="8" t="str">
        <f>VLOOKUP(A831,'mid_split_Annual Sub Sale'!F:F,1,0)</f>
        <v>#N/A</v>
      </c>
    </row>
    <row r="832">
      <c r="A832" s="9">
        <v>441416.0</v>
      </c>
      <c r="B832" s="8" t="str">
        <f>VLOOKUP(A832,'mid_split_Annual Sub Sale'!F:F,1,0)</f>
        <v>#N/A</v>
      </c>
    </row>
    <row r="833">
      <c r="A833" s="9">
        <v>445845.0</v>
      </c>
      <c r="B833" s="8" t="str">
        <f>VLOOKUP(A833,'mid_split_Annual Sub Sale'!F:F,1,0)</f>
        <v>#N/A</v>
      </c>
    </row>
    <row r="834">
      <c r="A834" s="9">
        <v>405582.0</v>
      </c>
      <c r="B834" s="8" t="str">
        <f>VLOOKUP(A834,'mid_split_Annual Sub Sale'!F:F,1,0)</f>
        <v>#N/A</v>
      </c>
    </row>
    <row r="835">
      <c r="A835" s="9">
        <v>479080.0</v>
      </c>
      <c r="B835" s="8" t="str">
        <f>VLOOKUP(A835,'mid_split_Annual Sub Sale'!F:F,1,0)</f>
        <v>#N/A</v>
      </c>
    </row>
    <row r="836">
      <c r="A836" s="9">
        <v>427621.0</v>
      </c>
      <c r="B836" s="8" t="str">
        <f>VLOOKUP(A836,'mid_split_Annual Sub Sale'!F:F,1,0)</f>
        <v>#N/A</v>
      </c>
    </row>
    <row r="837">
      <c r="A837" s="9">
        <v>441413.0</v>
      </c>
      <c r="B837" s="8" t="str">
        <f>VLOOKUP(A837,'mid_split_Annual Sub Sale'!F:F,1,0)</f>
        <v>#N/A</v>
      </c>
    </row>
    <row r="838">
      <c r="A838" s="9">
        <v>433557.0</v>
      </c>
      <c r="B838" s="8" t="str">
        <f>VLOOKUP(A838,'mid_split_Annual Sub Sale'!F:F,1,0)</f>
        <v>#N/A</v>
      </c>
    </row>
    <row r="839">
      <c r="A839" s="9">
        <v>404225.0</v>
      </c>
      <c r="B839" s="8" t="str">
        <f>VLOOKUP(A839,'mid_split_Annual Sub Sale'!F:F,1,0)</f>
        <v>#N/A</v>
      </c>
    </row>
    <row r="840">
      <c r="A840" s="9">
        <v>424671.0</v>
      </c>
      <c r="B840" s="8" t="str">
        <f>VLOOKUP(A840,'mid_split_Annual Sub Sale'!F:F,1,0)</f>
        <v>#N/A</v>
      </c>
    </row>
    <row r="841">
      <c r="A841" s="9">
        <v>443160.0</v>
      </c>
      <c r="B841" s="8" t="str">
        <f>VLOOKUP(A841,'mid_split_Annual Sub Sale'!F:F,1,0)</f>
        <v>#N/A</v>
      </c>
    </row>
    <row r="842">
      <c r="A842" s="9">
        <v>460953.0</v>
      </c>
      <c r="B842" s="8" t="str">
        <f>VLOOKUP(A842,'mid_split_Annual Sub Sale'!F:F,1,0)</f>
        <v>#N/A</v>
      </c>
    </row>
    <row r="843">
      <c r="A843" s="9">
        <v>430637.0</v>
      </c>
      <c r="B843" s="8" t="str">
        <f>VLOOKUP(A843,'mid_split_Annual Sub Sale'!F:F,1,0)</f>
        <v>#N/A</v>
      </c>
    </row>
    <row r="844">
      <c r="A844" s="9">
        <v>425142.0</v>
      </c>
      <c r="B844" s="8" t="str">
        <f>VLOOKUP(A844,'mid_split_Annual Sub Sale'!F:F,1,0)</f>
        <v>#N/A</v>
      </c>
    </row>
    <row r="845">
      <c r="A845" s="9">
        <v>494370.0</v>
      </c>
      <c r="B845" s="8" t="str">
        <f>VLOOKUP(A845,'mid_split_Annual Sub Sale'!F:F,1,0)</f>
        <v>#N/A</v>
      </c>
    </row>
    <row r="846">
      <c r="A846" s="9">
        <v>486938.0</v>
      </c>
      <c r="B846" s="8" t="str">
        <f>VLOOKUP(A846,'mid_split_Annual Sub Sale'!F:F,1,0)</f>
        <v>#N/A</v>
      </c>
    </row>
    <row r="847">
      <c r="A847" s="9">
        <v>412492.0</v>
      </c>
      <c r="B847" s="8" t="str">
        <f>VLOOKUP(A847,'mid_split_Annual Sub Sale'!F:F,1,0)</f>
        <v>#N/A</v>
      </c>
    </row>
    <row r="848">
      <c r="A848" s="9">
        <v>478821.0</v>
      </c>
      <c r="B848" s="8" t="str">
        <f>VLOOKUP(A848,'mid_split_Annual Sub Sale'!F:F,1,0)</f>
        <v>#N/A</v>
      </c>
    </row>
    <row r="849">
      <c r="A849" s="9">
        <v>414446.0</v>
      </c>
      <c r="B849" s="8" t="str">
        <f>VLOOKUP(A849,'mid_split_Annual Sub Sale'!F:F,1,0)</f>
        <v>#N/A</v>
      </c>
    </row>
    <row r="850">
      <c r="A850" s="9">
        <v>404936.0</v>
      </c>
      <c r="B850" s="8" t="str">
        <f>VLOOKUP(A850,'mid_split_Annual Sub Sale'!F:F,1,0)</f>
        <v>#N/A</v>
      </c>
    </row>
    <row r="851">
      <c r="A851" s="9">
        <v>449616.0</v>
      </c>
      <c r="B851" s="8" t="str">
        <f>VLOOKUP(A851,'mid_split_Annual Sub Sale'!F:F,1,0)</f>
        <v>#N/A</v>
      </c>
    </row>
    <row r="852">
      <c r="A852" s="9">
        <v>407238.0</v>
      </c>
      <c r="B852" s="8" t="str">
        <f>VLOOKUP(A852,'mid_split_Annual Sub Sale'!F:F,1,0)</f>
        <v>#N/A</v>
      </c>
    </row>
    <row r="853">
      <c r="A853" s="9">
        <v>445088.0</v>
      </c>
      <c r="B853" s="8" t="str">
        <f>VLOOKUP(A853,'mid_split_Annual Sub Sale'!F:F,1,0)</f>
        <v>#N/A</v>
      </c>
    </row>
    <row r="854">
      <c r="A854" s="9">
        <v>431678.0</v>
      </c>
      <c r="B854" s="8" t="str">
        <f>VLOOKUP(A854,'mid_split_Annual Sub Sale'!F:F,1,0)</f>
        <v>#N/A</v>
      </c>
    </row>
    <row r="855">
      <c r="A855" s="9">
        <v>408490.0</v>
      </c>
      <c r="B855" s="8" t="str">
        <f>VLOOKUP(A855,'mid_split_Annual Sub Sale'!F:F,1,0)</f>
        <v>#N/A</v>
      </c>
    </row>
    <row r="856">
      <c r="A856" s="9">
        <v>478990.0</v>
      </c>
      <c r="B856" s="8" t="str">
        <f>VLOOKUP(A856,'mid_split_Annual Sub Sale'!F:F,1,0)</f>
        <v>#N/A</v>
      </c>
    </row>
    <row r="857">
      <c r="A857" s="9">
        <v>400129.0</v>
      </c>
      <c r="B857" s="8" t="str">
        <f>VLOOKUP(A857,'mid_split_Annual Sub Sale'!F:F,1,0)</f>
        <v>#N/A</v>
      </c>
    </row>
    <row r="858">
      <c r="A858" s="9">
        <v>414270.0</v>
      </c>
      <c r="B858" s="8" t="str">
        <f>VLOOKUP(A858,'mid_split_Annual Sub Sale'!F:F,1,0)</f>
        <v>#N/A</v>
      </c>
    </row>
    <row r="859">
      <c r="A859" s="9">
        <v>436689.0</v>
      </c>
      <c r="B859" s="8" t="str">
        <f>VLOOKUP(A859,'mid_split_Annual Sub Sale'!F:F,1,0)</f>
        <v>#N/A</v>
      </c>
    </row>
    <row r="860">
      <c r="A860" s="9">
        <v>480219.0</v>
      </c>
      <c r="B860" s="8" t="str">
        <f>VLOOKUP(A860,'mid_split_Annual Sub Sale'!F:F,1,0)</f>
        <v>#N/A</v>
      </c>
    </row>
    <row r="861">
      <c r="A861" s="9">
        <v>476584.0</v>
      </c>
      <c r="B861" s="8" t="str">
        <f>VLOOKUP(A861,'mid_split_Annual Sub Sale'!F:F,1,0)</f>
        <v>#N/A</v>
      </c>
    </row>
    <row r="862">
      <c r="A862" s="9">
        <v>478373.0</v>
      </c>
      <c r="B862" s="8" t="str">
        <f>VLOOKUP(A862,'mid_split_Annual Sub Sale'!F:F,1,0)</f>
        <v>#N/A</v>
      </c>
    </row>
    <row r="863">
      <c r="A863" s="9">
        <v>458007.0</v>
      </c>
      <c r="B863" s="8" t="str">
        <f>VLOOKUP(A863,'mid_split_Annual Sub Sale'!F:F,1,0)</f>
        <v>#N/A</v>
      </c>
    </row>
    <row r="864">
      <c r="A864" s="9">
        <v>406215.0</v>
      </c>
      <c r="B864" s="8" t="str">
        <f>VLOOKUP(A864,'mid_split_Annual Sub Sale'!F:F,1,0)</f>
        <v>#N/A</v>
      </c>
    </row>
    <row r="865">
      <c r="A865" s="9">
        <v>440881.0</v>
      </c>
      <c r="B865" s="8" t="str">
        <f>VLOOKUP(A865,'mid_split_Annual Sub Sale'!F:F,1,0)</f>
        <v>#N/A</v>
      </c>
    </row>
    <row r="866">
      <c r="A866" s="9">
        <v>448381.0</v>
      </c>
      <c r="B866" s="8" t="str">
        <f>VLOOKUP(A866,'mid_split_Annual Sub Sale'!F:F,1,0)</f>
        <v>#N/A</v>
      </c>
    </row>
    <row r="867">
      <c r="A867" s="9">
        <v>477712.0</v>
      </c>
      <c r="B867" s="8" t="str">
        <f>VLOOKUP(A867,'mid_split_Annual Sub Sale'!F:F,1,0)</f>
        <v>#N/A</v>
      </c>
    </row>
    <row r="868">
      <c r="A868" s="9">
        <v>487591.0</v>
      </c>
      <c r="B868" s="8" t="str">
        <f>VLOOKUP(A868,'mid_split_Annual Sub Sale'!F:F,1,0)</f>
        <v>#N/A</v>
      </c>
    </row>
    <row r="869">
      <c r="A869" s="9">
        <v>420274.0</v>
      </c>
      <c r="B869" s="8" t="str">
        <f>VLOOKUP(A869,'mid_split_Annual Sub Sale'!F:F,1,0)</f>
        <v>#N/A</v>
      </c>
    </row>
    <row r="870">
      <c r="A870" s="9">
        <v>457147.0</v>
      </c>
      <c r="B870" s="8" t="str">
        <f>VLOOKUP(A870,'mid_split_Annual Sub Sale'!F:F,1,0)</f>
        <v>#N/A</v>
      </c>
    </row>
    <row r="871">
      <c r="A871" s="9">
        <v>463100.0</v>
      </c>
      <c r="B871" s="8" t="str">
        <f>VLOOKUP(A871,'mid_split_Annual Sub Sale'!F:F,1,0)</f>
        <v>#N/A</v>
      </c>
    </row>
    <row r="872">
      <c r="A872" s="9">
        <v>436196.0</v>
      </c>
      <c r="B872" s="8" t="str">
        <f>VLOOKUP(A872,'mid_split_Annual Sub Sale'!F:F,1,0)</f>
        <v>#N/A</v>
      </c>
    </row>
    <row r="873">
      <c r="A873" s="9">
        <v>461085.0</v>
      </c>
      <c r="B873" s="8" t="str">
        <f>VLOOKUP(A873,'mid_split_Annual Sub Sale'!F:F,1,0)</f>
        <v>#N/A</v>
      </c>
    </row>
    <row r="874">
      <c r="A874" s="9">
        <v>442324.0</v>
      </c>
      <c r="B874" s="8" t="str">
        <f>VLOOKUP(A874,'mid_split_Annual Sub Sale'!F:F,1,0)</f>
        <v>#N/A</v>
      </c>
    </row>
    <row r="875">
      <c r="A875" s="9">
        <v>420022.0</v>
      </c>
      <c r="B875" s="8" t="str">
        <f>VLOOKUP(A875,'mid_split_Annual Sub Sale'!F:F,1,0)</f>
        <v>#N/A</v>
      </c>
    </row>
    <row r="876">
      <c r="A876" s="9">
        <v>463147.0</v>
      </c>
      <c r="B876" s="8" t="str">
        <f>VLOOKUP(A876,'mid_split_Annual Sub Sale'!F:F,1,0)</f>
        <v>#N/A</v>
      </c>
    </row>
    <row r="877">
      <c r="A877" s="9">
        <v>466332.0</v>
      </c>
      <c r="B877" s="8" t="str">
        <f>VLOOKUP(A877,'mid_split_Annual Sub Sale'!F:F,1,0)</f>
        <v>#N/A</v>
      </c>
    </row>
    <row r="878">
      <c r="A878" s="9">
        <v>463578.0</v>
      </c>
      <c r="B878" s="8" t="str">
        <f>VLOOKUP(A878,'mid_split_Annual Sub Sale'!F:F,1,0)</f>
        <v>#N/A</v>
      </c>
    </row>
    <row r="879">
      <c r="A879" s="9">
        <v>457198.0</v>
      </c>
      <c r="B879" s="8" t="str">
        <f>VLOOKUP(A879,'mid_split_Annual Sub Sale'!F:F,1,0)</f>
        <v>#N/A</v>
      </c>
    </row>
    <row r="880">
      <c r="A880" s="9">
        <v>473813.0</v>
      </c>
      <c r="B880" s="8" t="str">
        <f>VLOOKUP(A880,'mid_split_Annual Sub Sale'!F:F,1,0)</f>
        <v>#N/A</v>
      </c>
    </row>
    <row r="881">
      <c r="A881" s="9">
        <v>428312.0</v>
      </c>
      <c r="B881" s="8" t="str">
        <f>VLOOKUP(A881,'mid_split_Annual Sub Sale'!F:F,1,0)</f>
        <v>#N/A</v>
      </c>
    </row>
    <row r="882">
      <c r="A882" s="9">
        <v>415115.0</v>
      </c>
      <c r="B882" s="8" t="str">
        <f>VLOOKUP(A882,'mid_split_Annual Sub Sale'!F:F,1,0)</f>
        <v>#N/A</v>
      </c>
    </row>
    <row r="883">
      <c r="A883" s="9">
        <v>467541.0</v>
      </c>
      <c r="B883" s="8" t="str">
        <f>VLOOKUP(A883,'mid_split_Annual Sub Sale'!F:F,1,0)</f>
        <v>#N/A</v>
      </c>
    </row>
    <row r="884">
      <c r="A884" s="9">
        <v>457195.0</v>
      </c>
      <c r="B884" s="8" t="str">
        <f>VLOOKUP(A884,'mid_split_Annual Sub Sale'!F:F,1,0)</f>
        <v>#N/A</v>
      </c>
    </row>
    <row r="885">
      <c r="A885" s="9">
        <v>463340.0</v>
      </c>
      <c r="B885" s="8" t="str">
        <f>VLOOKUP(A885,'mid_split_Annual Sub Sale'!F:F,1,0)</f>
        <v>#N/A</v>
      </c>
    </row>
    <row r="886">
      <c r="A886" s="9">
        <v>443227.0</v>
      </c>
      <c r="B886" s="8" t="str">
        <f>VLOOKUP(A886,'mid_split_Annual Sub Sale'!F:F,1,0)</f>
        <v>#N/A</v>
      </c>
    </row>
    <row r="887">
      <c r="A887" s="9">
        <v>465354.0</v>
      </c>
      <c r="B887" s="8" t="str">
        <f>VLOOKUP(A887,'mid_split_Annual Sub Sale'!F:F,1,0)</f>
        <v>#N/A</v>
      </c>
    </row>
    <row r="888">
      <c r="A888" s="9">
        <v>434167.0</v>
      </c>
      <c r="B888" s="8" t="str">
        <f>VLOOKUP(A888,'mid_split_Annual Sub Sale'!F:F,1,0)</f>
        <v>#N/A</v>
      </c>
    </row>
    <row r="889">
      <c r="A889" s="9">
        <v>454891.0</v>
      </c>
      <c r="B889" s="8" t="str">
        <f>VLOOKUP(A889,'mid_split_Annual Sub Sale'!F:F,1,0)</f>
        <v>#N/A</v>
      </c>
    </row>
    <row r="890">
      <c r="A890" s="9">
        <v>451503.0</v>
      </c>
      <c r="B890" s="8" t="str">
        <f>VLOOKUP(A890,'mid_split_Annual Sub Sale'!F:F,1,0)</f>
        <v>#N/A</v>
      </c>
    </row>
    <row r="891">
      <c r="A891" s="9">
        <v>442004.0</v>
      </c>
      <c r="B891" s="8" t="str">
        <f>VLOOKUP(A891,'mid_split_Annual Sub Sale'!F:F,1,0)</f>
        <v>#N/A</v>
      </c>
    </row>
    <row r="892">
      <c r="A892" s="9">
        <v>430076.0</v>
      </c>
      <c r="B892" s="8" t="str">
        <f>VLOOKUP(A892,'mid_split_Annual Sub Sale'!F:F,1,0)</f>
        <v>#N/A</v>
      </c>
    </row>
    <row r="893">
      <c r="A893" s="9">
        <v>469885.0</v>
      </c>
      <c r="B893" s="8" t="str">
        <f>VLOOKUP(A893,'mid_split_Annual Sub Sale'!F:F,1,0)</f>
        <v>#N/A</v>
      </c>
    </row>
    <row r="894">
      <c r="A894" s="9">
        <v>463687.0</v>
      </c>
      <c r="B894" s="8" t="str">
        <f>VLOOKUP(A894,'mid_split_Annual Sub Sale'!F:F,1,0)</f>
        <v>#N/A</v>
      </c>
    </row>
    <row r="895">
      <c r="A895" s="9">
        <v>461243.0</v>
      </c>
      <c r="B895" s="8" t="str">
        <f>VLOOKUP(A895,'mid_split_Annual Sub Sale'!F:F,1,0)</f>
        <v>#N/A</v>
      </c>
    </row>
    <row r="896">
      <c r="A896" s="9">
        <v>415760.0</v>
      </c>
      <c r="B896" s="8" t="str">
        <f>VLOOKUP(A896,'mid_split_Annual Sub Sale'!F:F,1,0)</f>
        <v>#N/A</v>
      </c>
    </row>
    <row r="897">
      <c r="A897" s="9">
        <v>418469.0</v>
      </c>
      <c r="B897" s="8" t="str">
        <f>VLOOKUP(A897,'mid_split_Annual Sub Sale'!F:F,1,0)</f>
        <v>#N/A</v>
      </c>
    </row>
    <row r="898">
      <c r="A898" s="9">
        <v>477825.0</v>
      </c>
      <c r="B898" s="8" t="str">
        <f>VLOOKUP(A898,'mid_split_Annual Sub Sale'!F:F,1,0)</f>
        <v>#N/A</v>
      </c>
    </row>
    <row r="899">
      <c r="A899" s="9">
        <v>427061.0</v>
      </c>
      <c r="B899" s="8" t="str">
        <f>VLOOKUP(A899,'mid_split_Annual Sub Sale'!F:F,1,0)</f>
        <v>#N/A</v>
      </c>
    </row>
    <row r="900">
      <c r="A900" s="9">
        <v>470504.0</v>
      </c>
      <c r="B900" s="8" t="str">
        <f>VLOOKUP(A900,'mid_split_Annual Sub Sale'!F:F,1,0)</f>
        <v>#N/A</v>
      </c>
    </row>
    <row r="901">
      <c r="A901" s="9">
        <v>481692.0</v>
      </c>
      <c r="B901" s="8" t="str">
        <f>VLOOKUP(A901,'mid_split_Annual Sub Sale'!F:F,1,0)</f>
        <v>#N/A</v>
      </c>
    </row>
    <row r="902">
      <c r="A902" s="9">
        <v>443259.0</v>
      </c>
      <c r="B902" s="8" t="str">
        <f>VLOOKUP(A902,'mid_split_Annual Sub Sale'!F:F,1,0)</f>
        <v>#N/A</v>
      </c>
    </row>
    <row r="903">
      <c r="A903" s="9">
        <v>449266.0</v>
      </c>
      <c r="B903" s="8" t="str">
        <f>VLOOKUP(A903,'mid_split_Annual Sub Sale'!F:F,1,0)</f>
        <v>#N/A</v>
      </c>
    </row>
    <row r="904">
      <c r="A904" s="9">
        <v>441928.0</v>
      </c>
      <c r="B904" s="8" t="str">
        <f>VLOOKUP(A904,'mid_split_Annual Sub Sale'!F:F,1,0)</f>
        <v>#N/A</v>
      </c>
    </row>
    <row r="905">
      <c r="A905" s="9">
        <v>477989.0</v>
      </c>
      <c r="B905" s="8" t="str">
        <f>VLOOKUP(A905,'mid_split_Annual Sub Sale'!F:F,1,0)</f>
        <v>#N/A</v>
      </c>
    </row>
    <row r="906">
      <c r="A906" s="9">
        <v>449370.0</v>
      </c>
      <c r="B906" s="8" t="str">
        <f>VLOOKUP(A906,'mid_split_Annual Sub Sale'!F:F,1,0)</f>
        <v>#N/A</v>
      </c>
    </row>
    <row r="907">
      <c r="A907" s="9">
        <v>416994.0</v>
      </c>
      <c r="B907" s="8" t="str">
        <f>VLOOKUP(A907,'mid_split_Annual Sub Sale'!F:F,1,0)</f>
        <v>#N/A</v>
      </c>
    </row>
    <row r="908">
      <c r="A908" s="9">
        <v>442223.0</v>
      </c>
      <c r="B908" s="8" t="str">
        <f>VLOOKUP(A908,'mid_split_Annual Sub Sale'!F:F,1,0)</f>
        <v>#N/A</v>
      </c>
    </row>
    <row r="909">
      <c r="A909" s="9">
        <v>449253.0</v>
      </c>
      <c r="B909" s="8" t="str">
        <f>VLOOKUP(A909,'mid_split_Annual Sub Sale'!F:F,1,0)</f>
        <v>#N/A</v>
      </c>
    </row>
    <row r="910">
      <c r="A910" s="9">
        <v>423686.0</v>
      </c>
      <c r="B910" s="8" t="str">
        <f>VLOOKUP(A910,'mid_split_Annual Sub Sale'!F:F,1,0)</f>
        <v>#N/A</v>
      </c>
    </row>
    <row r="911">
      <c r="A911" s="9">
        <v>473814.0</v>
      </c>
      <c r="B911" s="8" t="str">
        <f>VLOOKUP(A911,'mid_split_Annual Sub Sale'!F:F,1,0)</f>
        <v>#N/A</v>
      </c>
    </row>
    <row r="912">
      <c r="A912" s="9">
        <v>455572.0</v>
      </c>
      <c r="B912" s="8" t="str">
        <f>VLOOKUP(A912,'mid_split_Annual Sub Sale'!F:F,1,0)</f>
        <v>#N/A</v>
      </c>
    </row>
    <row r="913">
      <c r="A913" s="9">
        <v>481666.0</v>
      </c>
      <c r="B913" s="8" t="str">
        <f>VLOOKUP(A913,'mid_split_Annual Sub Sale'!F:F,1,0)</f>
        <v>#N/A</v>
      </c>
    </row>
    <row r="914">
      <c r="A914" s="9">
        <v>476559.0</v>
      </c>
      <c r="B914" s="8" t="str">
        <f>VLOOKUP(A914,'mid_split_Annual Sub Sale'!F:F,1,0)</f>
        <v>#N/A</v>
      </c>
    </row>
    <row r="915">
      <c r="A915" s="9">
        <v>453599.0</v>
      </c>
      <c r="B915" s="8" t="str">
        <f>VLOOKUP(A915,'mid_split_Annual Sub Sale'!F:F,1,0)</f>
        <v>#N/A</v>
      </c>
    </row>
    <row r="916">
      <c r="A916" s="9">
        <v>457140.0</v>
      </c>
      <c r="B916" s="8" t="str">
        <f>VLOOKUP(A916,'mid_split_Annual Sub Sale'!F:F,1,0)</f>
        <v>#N/A</v>
      </c>
    </row>
    <row r="917">
      <c r="A917" s="9">
        <v>431198.0</v>
      </c>
      <c r="B917" s="8" t="str">
        <f>VLOOKUP(A917,'mid_split_Annual Sub Sale'!F:F,1,0)</f>
        <v>#N/A</v>
      </c>
    </row>
    <row r="918">
      <c r="A918" s="9">
        <v>406577.0</v>
      </c>
      <c r="B918" s="8" t="str">
        <f>VLOOKUP(A918,'mid_split_Annual Sub Sale'!F:F,1,0)</f>
        <v>#N/A</v>
      </c>
    </row>
    <row r="919">
      <c r="A919" s="9">
        <v>456201.0</v>
      </c>
      <c r="B919" s="8" t="str">
        <f>VLOOKUP(A919,'mid_split_Annual Sub Sale'!F:F,1,0)</f>
        <v>#N/A</v>
      </c>
    </row>
    <row r="920">
      <c r="A920" s="9">
        <v>414909.0</v>
      </c>
      <c r="B920" s="8" t="str">
        <f>VLOOKUP(A920,'mid_split_Annual Sub Sale'!F:F,1,0)</f>
        <v>#N/A</v>
      </c>
    </row>
    <row r="921">
      <c r="A921" s="9">
        <v>489981.0</v>
      </c>
      <c r="B921" s="8" t="str">
        <f>VLOOKUP(A921,'mid_split_Annual Sub Sale'!F:F,1,0)</f>
        <v>#N/A</v>
      </c>
    </row>
    <row r="922">
      <c r="A922" s="9">
        <v>456720.0</v>
      </c>
      <c r="B922" s="8" t="str">
        <f>VLOOKUP(A922,'mid_split_Annual Sub Sale'!F:F,1,0)</f>
        <v>#N/A</v>
      </c>
    </row>
    <row r="923">
      <c r="A923" s="9">
        <v>495034.0</v>
      </c>
      <c r="B923" s="8" t="str">
        <f>VLOOKUP(A923,'mid_split_Annual Sub Sale'!F:F,1,0)</f>
        <v>#N/A</v>
      </c>
    </row>
    <row r="924">
      <c r="A924" s="9">
        <v>430152.0</v>
      </c>
      <c r="B924" s="8" t="str">
        <f>VLOOKUP(A924,'mid_split_Annual Sub Sale'!F:F,1,0)</f>
        <v>#N/A</v>
      </c>
    </row>
    <row r="925">
      <c r="A925" s="9">
        <v>433429.0</v>
      </c>
      <c r="B925" s="8" t="str">
        <f>VLOOKUP(A925,'mid_split_Annual Sub Sale'!F:F,1,0)</f>
        <v>#N/A</v>
      </c>
    </row>
    <row r="926">
      <c r="A926" s="9">
        <v>429154.0</v>
      </c>
      <c r="B926" s="8" t="str">
        <f>VLOOKUP(A926,'mid_split_Annual Sub Sale'!F:F,1,0)</f>
        <v>#N/A</v>
      </c>
    </row>
    <row r="927">
      <c r="A927" s="9">
        <v>454618.0</v>
      </c>
      <c r="B927" s="8" t="str">
        <f>VLOOKUP(A927,'mid_split_Annual Sub Sale'!F:F,1,0)</f>
        <v>#N/A</v>
      </c>
    </row>
    <row r="928">
      <c r="A928" s="9">
        <v>416490.0</v>
      </c>
      <c r="B928" s="8" t="str">
        <f>VLOOKUP(A928,'mid_split_Annual Sub Sale'!F:F,1,0)</f>
        <v>#N/A</v>
      </c>
    </row>
    <row r="929">
      <c r="A929" s="9">
        <v>416564.0</v>
      </c>
      <c r="B929" s="8" t="str">
        <f>VLOOKUP(A929,'mid_split_Annual Sub Sale'!F:F,1,0)</f>
        <v>#N/A</v>
      </c>
    </row>
    <row r="930">
      <c r="A930" s="9">
        <v>458027.0</v>
      </c>
      <c r="B930" s="8" t="str">
        <f>VLOOKUP(A930,'mid_split_Annual Sub Sale'!F:F,1,0)</f>
        <v>#N/A</v>
      </c>
    </row>
    <row r="931">
      <c r="A931" s="9">
        <v>403707.0</v>
      </c>
      <c r="B931" s="8" t="str">
        <f>VLOOKUP(A931,'mid_split_Annual Sub Sale'!F:F,1,0)</f>
        <v>#N/A</v>
      </c>
    </row>
    <row r="932">
      <c r="A932" s="9">
        <v>426606.0</v>
      </c>
      <c r="B932" s="8" t="str">
        <f>VLOOKUP(A932,'mid_split_Annual Sub Sale'!F:F,1,0)</f>
        <v>#N/A</v>
      </c>
    </row>
    <row r="933">
      <c r="A933" s="9">
        <v>419028.0</v>
      </c>
      <c r="B933" s="8" t="str">
        <f>VLOOKUP(A933,'mid_split_Annual Sub Sale'!F:F,1,0)</f>
        <v>#N/A</v>
      </c>
    </row>
    <row r="934">
      <c r="A934" s="9">
        <v>475581.0</v>
      </c>
      <c r="B934" s="8" t="str">
        <f>VLOOKUP(A934,'mid_split_Annual Sub Sale'!F:F,1,0)</f>
        <v>#N/A</v>
      </c>
    </row>
    <row r="935">
      <c r="A935" s="9">
        <v>446531.0</v>
      </c>
      <c r="B935" s="8" t="str">
        <f>VLOOKUP(A935,'mid_split_Annual Sub Sale'!F:F,1,0)</f>
        <v>#N/A</v>
      </c>
    </row>
    <row r="936">
      <c r="A936" s="9">
        <v>460237.0</v>
      </c>
      <c r="B936" s="8" t="str">
        <f>VLOOKUP(A936,'mid_split_Annual Sub Sale'!F:F,1,0)</f>
        <v>#N/A</v>
      </c>
    </row>
    <row r="937">
      <c r="A937" s="9">
        <v>425008.0</v>
      </c>
      <c r="B937" s="8" t="str">
        <f>VLOOKUP(A937,'mid_split_Annual Sub Sale'!F:F,1,0)</f>
        <v>#N/A</v>
      </c>
    </row>
    <row r="938">
      <c r="A938" s="9">
        <v>466324.0</v>
      </c>
      <c r="B938" s="8" t="str">
        <f>VLOOKUP(A938,'mid_split_Annual Sub Sale'!F:F,1,0)</f>
        <v>#N/A</v>
      </c>
    </row>
    <row r="939">
      <c r="A939" s="9">
        <v>457168.0</v>
      </c>
      <c r="B939" s="8" t="str">
        <f>VLOOKUP(A939,'mid_split_Annual Sub Sale'!F:F,1,0)</f>
        <v>#N/A</v>
      </c>
    </row>
    <row r="940">
      <c r="A940" s="9">
        <v>494282.0</v>
      </c>
      <c r="B940" s="8" t="str">
        <f>VLOOKUP(A940,'mid_split_Annual Sub Sale'!F:F,1,0)</f>
        <v>#N/A</v>
      </c>
    </row>
    <row r="941">
      <c r="A941" s="9">
        <v>449366.0</v>
      </c>
      <c r="B941" s="8" t="str">
        <f>VLOOKUP(A941,'mid_split_Annual Sub Sale'!F:F,1,0)</f>
        <v>#N/A</v>
      </c>
    </row>
    <row r="942">
      <c r="A942" s="9">
        <v>467142.0</v>
      </c>
      <c r="B942" s="8" t="str">
        <f>VLOOKUP(A942,'mid_split_Annual Sub Sale'!F:F,1,0)</f>
        <v>#N/A</v>
      </c>
    </row>
    <row r="943">
      <c r="A943" s="9">
        <v>429449.0</v>
      </c>
      <c r="B943" s="8" t="str">
        <f>VLOOKUP(A943,'mid_split_Annual Sub Sale'!F:F,1,0)</f>
        <v>#N/A</v>
      </c>
    </row>
    <row r="944">
      <c r="A944" s="9">
        <v>448830.0</v>
      </c>
      <c r="B944" s="8" t="str">
        <f>VLOOKUP(A944,'mid_split_Annual Sub Sale'!F:F,1,0)</f>
        <v>#N/A</v>
      </c>
    </row>
    <row r="945">
      <c r="A945" s="9">
        <v>456539.0</v>
      </c>
      <c r="B945" s="8" t="str">
        <f>VLOOKUP(A945,'mid_split_Annual Sub Sale'!F:F,1,0)</f>
        <v>#N/A</v>
      </c>
    </row>
    <row r="946">
      <c r="A946" s="9">
        <v>430714.0</v>
      </c>
      <c r="B946" s="8" t="str">
        <f>VLOOKUP(A946,'mid_split_Annual Sub Sale'!F:F,1,0)</f>
        <v>#N/A</v>
      </c>
    </row>
    <row r="947">
      <c r="A947" s="9">
        <v>427514.0</v>
      </c>
      <c r="B947" s="8" t="str">
        <f>VLOOKUP(A947,'mid_split_Annual Sub Sale'!F:F,1,0)</f>
        <v>#N/A</v>
      </c>
    </row>
    <row r="948">
      <c r="A948" s="9">
        <v>418451.0</v>
      </c>
      <c r="B948" s="8" t="str">
        <f>VLOOKUP(A948,'mid_split_Annual Sub Sale'!F:F,1,0)</f>
        <v>#N/A</v>
      </c>
    </row>
    <row r="949">
      <c r="A949" s="9">
        <v>415775.0</v>
      </c>
      <c r="B949" s="8" t="str">
        <f>VLOOKUP(A949,'mid_split_Annual Sub Sale'!F:F,1,0)</f>
        <v>#N/A</v>
      </c>
    </row>
    <row r="950">
      <c r="A950" s="9">
        <v>461029.0</v>
      </c>
      <c r="B950" s="8" t="str">
        <f>VLOOKUP(A950,'mid_split_Annual Sub Sale'!F:F,1,0)</f>
        <v>#N/A</v>
      </c>
    </row>
    <row r="951">
      <c r="A951" s="9">
        <v>405769.0</v>
      </c>
      <c r="B951" s="8" t="str">
        <f>VLOOKUP(A951,'mid_split_Annual Sub Sale'!F:F,1,0)</f>
        <v>#N/A</v>
      </c>
    </row>
    <row r="952">
      <c r="A952" s="9">
        <v>493511.0</v>
      </c>
      <c r="B952" s="8" t="str">
        <f>VLOOKUP(A952,'mid_split_Annual Sub Sale'!F:F,1,0)</f>
        <v>#N/A</v>
      </c>
    </row>
    <row r="953">
      <c r="A953" s="9">
        <v>400835.0</v>
      </c>
      <c r="B953" s="8" t="str">
        <f>VLOOKUP(A953,'mid_split_Annual Sub Sale'!F:F,1,0)</f>
        <v>#N/A</v>
      </c>
    </row>
    <row r="954">
      <c r="A954" s="9">
        <v>461242.0</v>
      </c>
      <c r="B954" s="8" t="str">
        <f>VLOOKUP(A954,'mid_split_Annual Sub Sale'!F:F,1,0)</f>
        <v>#N/A</v>
      </c>
    </row>
    <row r="955">
      <c r="A955" s="9">
        <v>442303.0</v>
      </c>
      <c r="B955" s="8" t="str">
        <f>VLOOKUP(A955,'mid_split_Annual Sub Sale'!F:F,1,0)</f>
        <v>#N/A</v>
      </c>
    </row>
    <row r="956">
      <c r="A956" s="9">
        <v>429263.0</v>
      </c>
      <c r="B956" s="8" t="str">
        <f>VLOOKUP(A956,'mid_split_Annual Sub Sale'!F:F,1,0)</f>
        <v>#N/A</v>
      </c>
    </row>
    <row r="957">
      <c r="A957" s="9">
        <v>468012.0</v>
      </c>
      <c r="B957" s="8" t="str">
        <f>VLOOKUP(A957,'mid_split_Annual Sub Sale'!F:F,1,0)</f>
        <v>#N/A</v>
      </c>
    </row>
    <row r="958">
      <c r="A958" s="9">
        <v>414905.0</v>
      </c>
      <c r="B958" s="8" t="str">
        <f>VLOOKUP(A958,'mid_split_Annual Sub Sale'!F:F,1,0)</f>
        <v>#N/A</v>
      </c>
    </row>
    <row r="959">
      <c r="A959" s="9">
        <v>453708.0</v>
      </c>
      <c r="B959" s="8" t="str">
        <f>VLOOKUP(A959,'mid_split_Annual Sub Sale'!F:F,1,0)</f>
        <v>#N/A</v>
      </c>
    </row>
    <row r="960">
      <c r="A960" s="9">
        <v>455237.0</v>
      </c>
      <c r="B960" s="8" t="str">
        <f>VLOOKUP(A960,'mid_split_Annual Sub Sale'!F:F,1,0)</f>
        <v>#N/A</v>
      </c>
    </row>
    <row r="961">
      <c r="A961" s="9">
        <v>459644.0</v>
      </c>
      <c r="B961" s="8" t="str">
        <f>VLOOKUP(A961,'mid_split_Annual Sub Sale'!F:F,1,0)</f>
        <v>#N/A</v>
      </c>
    </row>
    <row r="962">
      <c r="A962" s="9">
        <v>463853.0</v>
      </c>
      <c r="B962" s="8" t="str">
        <f>VLOOKUP(A962,'mid_split_Annual Sub Sale'!F:F,1,0)</f>
        <v>#N/A</v>
      </c>
    </row>
    <row r="963">
      <c r="A963" s="9">
        <v>417311.0</v>
      </c>
      <c r="B963" s="8" t="str">
        <f>VLOOKUP(A963,'mid_split_Annual Sub Sale'!F:F,1,0)</f>
        <v>#N/A</v>
      </c>
    </row>
    <row r="964">
      <c r="A964" s="9">
        <v>463097.0</v>
      </c>
      <c r="B964" s="8" t="str">
        <f>VLOOKUP(A964,'mid_split_Annual Sub Sale'!F:F,1,0)</f>
        <v>#N/A</v>
      </c>
    </row>
    <row r="965">
      <c r="A965" s="9">
        <v>414916.0</v>
      </c>
      <c r="B965" s="8" t="str">
        <f>VLOOKUP(A965,'mid_split_Annual Sub Sale'!F:F,1,0)</f>
        <v>#N/A</v>
      </c>
    </row>
    <row r="966">
      <c r="A966" s="9">
        <v>478374.0</v>
      </c>
      <c r="B966" s="8" t="str">
        <f>VLOOKUP(A966,'mid_split_Annual Sub Sale'!F:F,1,0)</f>
        <v>#N/A</v>
      </c>
    </row>
    <row r="967">
      <c r="A967" s="9">
        <v>497075.0</v>
      </c>
      <c r="B967" s="8" t="str">
        <f>VLOOKUP(A967,'mid_split_Annual Sub Sale'!F:F,1,0)</f>
        <v>#N/A</v>
      </c>
    </row>
    <row r="968">
      <c r="A968" s="9">
        <v>457137.0</v>
      </c>
      <c r="B968" s="8" t="str">
        <f>VLOOKUP(A968,'mid_split_Annual Sub Sale'!F:F,1,0)</f>
        <v>#N/A</v>
      </c>
    </row>
    <row r="969">
      <c r="A969" s="9">
        <v>442964.0</v>
      </c>
      <c r="B969" s="8" t="str">
        <f>VLOOKUP(A969,'mid_split_Annual Sub Sale'!F:F,1,0)</f>
        <v>#N/A</v>
      </c>
    </row>
    <row r="970">
      <c r="A970" s="9">
        <v>411878.0</v>
      </c>
      <c r="B970" s="8" t="str">
        <f>VLOOKUP(A970,'mid_split_Annual Sub Sale'!F:F,1,0)</f>
        <v>#N/A</v>
      </c>
    </row>
    <row r="971">
      <c r="A971" s="9">
        <v>411084.0</v>
      </c>
      <c r="B971" s="8" t="str">
        <f>VLOOKUP(A971,'mid_split_Annual Sub Sale'!F:F,1,0)</f>
        <v>#N/A</v>
      </c>
    </row>
    <row r="972">
      <c r="A972" s="9">
        <v>416363.0</v>
      </c>
      <c r="B972" s="8" t="str">
        <f>VLOOKUP(A972,'mid_split_Annual Sub Sale'!F:F,1,0)</f>
        <v>#N/A</v>
      </c>
    </row>
    <row r="973">
      <c r="A973" s="9">
        <v>454304.0</v>
      </c>
      <c r="B973" s="8" t="str">
        <f>VLOOKUP(A973,'mid_split_Annual Sub Sale'!F:F,1,0)</f>
        <v>#N/A</v>
      </c>
    </row>
    <row r="974">
      <c r="A974" s="9">
        <v>433772.0</v>
      </c>
      <c r="B974" s="8" t="str">
        <f>VLOOKUP(A974,'mid_split_Annual Sub Sale'!F:F,1,0)</f>
        <v>#N/A</v>
      </c>
    </row>
    <row r="975">
      <c r="A975" s="9">
        <v>415564.0</v>
      </c>
      <c r="B975" s="8" t="str">
        <f>VLOOKUP(A975,'mid_split_Annual Sub Sale'!F:F,1,0)</f>
        <v>#N/A</v>
      </c>
    </row>
    <row r="976">
      <c r="A976" s="9">
        <v>458858.0</v>
      </c>
      <c r="B976" s="8" t="str">
        <f>VLOOKUP(A976,'mid_split_Annual Sub Sale'!F:F,1,0)</f>
        <v>#N/A</v>
      </c>
    </row>
    <row r="977">
      <c r="A977" s="9">
        <v>439655.0</v>
      </c>
      <c r="B977" s="8" t="str">
        <f>VLOOKUP(A977,'mid_split_Annual Sub Sale'!F:F,1,0)</f>
        <v>#N/A</v>
      </c>
    </row>
    <row r="978">
      <c r="A978" s="9">
        <v>431938.0</v>
      </c>
      <c r="B978" s="8" t="str">
        <f>VLOOKUP(A978,'mid_split_Annual Sub Sale'!F:F,1,0)</f>
        <v>#N/A</v>
      </c>
    </row>
    <row r="979">
      <c r="A979" s="9">
        <v>449652.0</v>
      </c>
      <c r="B979" s="8" t="str">
        <f>VLOOKUP(A979,'mid_split_Annual Sub Sale'!F:F,1,0)</f>
        <v>#N/A</v>
      </c>
    </row>
    <row r="980">
      <c r="A980" s="9">
        <v>449108.0</v>
      </c>
      <c r="B980" s="8" t="str">
        <f>VLOOKUP(A980,'mid_split_Annual Sub Sale'!F:F,1,0)</f>
        <v>#N/A</v>
      </c>
    </row>
    <row r="981">
      <c r="A981" s="9">
        <v>409143.0</v>
      </c>
      <c r="B981" s="8" t="str">
        <f>VLOOKUP(A981,'mid_split_Annual Sub Sale'!F:F,1,0)</f>
        <v>#N/A</v>
      </c>
    </row>
    <row r="982">
      <c r="A982" s="9">
        <v>461807.0</v>
      </c>
      <c r="B982" s="8" t="str">
        <f>VLOOKUP(A982,'mid_split_Annual Sub Sale'!F:F,1,0)</f>
        <v>#N/A</v>
      </c>
    </row>
    <row r="983">
      <c r="A983" s="9">
        <v>435011.0</v>
      </c>
      <c r="B983" s="8" t="str">
        <f>VLOOKUP(A983,'mid_split_Annual Sub Sale'!F:F,1,0)</f>
        <v>#N/A</v>
      </c>
    </row>
    <row r="984">
      <c r="A984" s="9">
        <v>439744.0</v>
      </c>
      <c r="B984" s="8" t="str">
        <f>VLOOKUP(A984,'mid_split_Annual Sub Sale'!F:F,1,0)</f>
        <v>#N/A</v>
      </c>
    </row>
    <row r="985">
      <c r="A985" s="9">
        <v>459681.0</v>
      </c>
      <c r="B985" s="8" t="str">
        <f>VLOOKUP(A985,'mid_split_Annual Sub Sale'!F:F,1,0)</f>
        <v>#N/A</v>
      </c>
    </row>
    <row r="986">
      <c r="A986" s="9">
        <v>490115.0</v>
      </c>
      <c r="B986" s="8" t="str">
        <f>VLOOKUP(A986,'mid_split_Annual Sub Sale'!F:F,1,0)</f>
        <v>#N/A</v>
      </c>
    </row>
    <row r="987">
      <c r="A987" s="9">
        <v>433967.0</v>
      </c>
      <c r="B987" s="8" t="str">
        <f>VLOOKUP(A987,'mid_split_Annual Sub Sale'!F:F,1,0)</f>
        <v>#N/A</v>
      </c>
    </row>
    <row r="988">
      <c r="A988" s="9">
        <v>464554.0</v>
      </c>
      <c r="B988" s="8" t="str">
        <f>VLOOKUP(A988,'mid_split_Annual Sub Sale'!F:F,1,0)</f>
        <v>#N/A</v>
      </c>
    </row>
    <row r="989">
      <c r="A989" s="9">
        <v>430651.0</v>
      </c>
      <c r="B989" s="8" t="str">
        <f>VLOOKUP(A989,'mid_split_Annual Sub Sale'!F:F,1,0)</f>
        <v>#N/A</v>
      </c>
    </row>
    <row r="990">
      <c r="A990" s="9">
        <v>437779.0</v>
      </c>
      <c r="B990" s="8" t="str">
        <f>VLOOKUP(A990,'mid_split_Annual Sub Sale'!F:F,1,0)</f>
        <v>#N/A</v>
      </c>
    </row>
    <row r="991">
      <c r="A991" s="9">
        <v>409582.0</v>
      </c>
      <c r="B991" s="8" t="str">
        <f>VLOOKUP(A991,'mid_split_Annual Sub Sale'!F:F,1,0)</f>
        <v>#N/A</v>
      </c>
    </row>
    <row r="992">
      <c r="A992" s="9">
        <v>418587.0</v>
      </c>
      <c r="B992" s="8" t="str">
        <f>VLOOKUP(A992,'mid_split_Annual Sub Sale'!F:F,1,0)</f>
        <v>#N/A</v>
      </c>
    </row>
    <row r="993">
      <c r="A993" s="9">
        <v>442057.0</v>
      </c>
      <c r="B993" s="8" t="str">
        <f>VLOOKUP(A993,'mid_split_Annual Sub Sale'!F:F,1,0)</f>
        <v>#N/A</v>
      </c>
    </row>
    <row r="994">
      <c r="A994" s="9">
        <v>442971.0</v>
      </c>
      <c r="B994" s="8" t="str">
        <f>VLOOKUP(A994,'mid_split_Annual Sub Sale'!F:F,1,0)</f>
        <v>#N/A</v>
      </c>
    </row>
    <row r="995">
      <c r="A995" s="9">
        <v>450232.0</v>
      </c>
      <c r="B995" s="8" t="str">
        <f>VLOOKUP(A995,'mid_split_Annual Sub Sale'!F:F,1,0)</f>
        <v>#N/A</v>
      </c>
    </row>
    <row r="996">
      <c r="A996" s="9">
        <v>482166.0</v>
      </c>
      <c r="B996" s="8" t="str">
        <f>VLOOKUP(A996,'mid_split_Annual Sub Sale'!F:F,1,0)</f>
        <v>#N/A</v>
      </c>
    </row>
    <row r="997">
      <c r="A997" s="9">
        <v>487039.0</v>
      </c>
      <c r="B997" s="8" t="str">
        <f>VLOOKUP(A997,'mid_split_Annual Sub Sale'!F:F,1,0)</f>
        <v>#N/A</v>
      </c>
    </row>
    <row r="998">
      <c r="A998" s="9">
        <v>486859.0</v>
      </c>
      <c r="B998" s="8" t="str">
        <f>VLOOKUP(A998,'mid_split_Annual Sub Sale'!F:F,1,0)</f>
        <v>#N/A</v>
      </c>
    </row>
    <row r="999">
      <c r="A999" s="9">
        <v>497227.0</v>
      </c>
      <c r="B999" s="8" t="str">
        <f>VLOOKUP(A999,'mid_split_Annual Sub Sale'!F:F,1,0)</f>
        <v>#N/A</v>
      </c>
    </row>
    <row r="1000">
      <c r="A1000" s="9">
        <v>426492.0</v>
      </c>
      <c r="B1000" s="8" t="str">
        <f>VLOOKUP(A1000,'mid_split_Annual Sub Sale'!F:F,1,0)</f>
        <v>#N/A</v>
      </c>
    </row>
  </sheetData>
  <autoFilter ref="$A$1:$B$1000">
    <filterColumn colId="1">
      <filters>
        <filter val="#N/A"/>
      </filters>
    </filterColumn>
  </autoFilter>
  <drawing r:id="rId1"/>
</worksheet>
</file>
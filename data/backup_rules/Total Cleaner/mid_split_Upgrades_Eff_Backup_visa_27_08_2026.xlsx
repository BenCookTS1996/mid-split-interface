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ben.cook/Downloads/routing_optimiser/data/backup_rules/Total Cleaner/"/>
    </mc:Choice>
  </mc:AlternateContent>
  <xr:revisionPtr revIDLastSave="0" documentId="13_ncr:1_{7C4B217E-4261-2F4C-A74D-53271AF75125}" xr6:coauthVersionLast="47" xr6:coauthVersionMax="47" xr10:uidLastSave="{00000000-0000-0000-0000-000000000000}"/>
  <bookViews>
    <workbookView xWindow="0" yWindow="500" windowWidth="38400" windowHeight="19540" xr2:uid="{00000000-000D-0000-FFFF-FFFF00000000}"/>
  </bookViews>
  <sheets>
    <sheet name="mid_split_Upgrades" sheetId="1" r:id="rId1"/>
  </sheets>
  <definedNames>
    <definedName name="_xlnm._FilterDatabase" localSheetId="0" hidden="1">mid_split_Upgrades!$A$1:$BB$31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31" i="1" l="1"/>
  <c r="J31" i="1"/>
  <c r="Z30" i="1"/>
  <c r="J30" i="1"/>
  <c r="Z29" i="1"/>
  <c r="J29" i="1"/>
  <c r="Z28" i="1"/>
  <c r="J28" i="1"/>
  <c r="Z27" i="1"/>
  <c r="J27" i="1"/>
  <c r="Z26" i="1"/>
  <c r="J26" i="1"/>
  <c r="Z25" i="1"/>
  <c r="J25" i="1"/>
  <c r="Z24" i="1"/>
  <c r="J24" i="1"/>
  <c r="Z23" i="1"/>
  <c r="J23" i="1"/>
  <c r="Z22" i="1"/>
  <c r="J22" i="1"/>
  <c r="Z21" i="1"/>
  <c r="J21" i="1"/>
  <c r="Z20" i="1"/>
  <c r="J20" i="1"/>
  <c r="Z19" i="1"/>
  <c r="J19" i="1"/>
  <c r="Z18" i="1"/>
  <c r="J18" i="1"/>
  <c r="Z17" i="1"/>
  <c r="J17" i="1"/>
  <c r="Z16" i="1"/>
  <c r="J16" i="1"/>
  <c r="Z15" i="1"/>
  <c r="J15" i="1"/>
  <c r="Z14" i="1"/>
  <c r="J14" i="1"/>
  <c r="Z13" i="1"/>
  <c r="J13" i="1"/>
  <c r="Z12" i="1"/>
  <c r="J12" i="1"/>
  <c r="Z11" i="1"/>
  <c r="J11" i="1"/>
  <c r="Z10" i="1"/>
  <c r="J10" i="1"/>
  <c r="Z9" i="1"/>
  <c r="J9" i="1"/>
  <c r="Z8" i="1"/>
  <c r="J8" i="1"/>
  <c r="Z7" i="1"/>
  <c r="J7" i="1"/>
  <c r="Z6" i="1"/>
  <c r="J6" i="1"/>
  <c r="Z5" i="1"/>
  <c r="J5" i="1"/>
  <c r="Z4" i="1"/>
  <c r="J4" i="1"/>
  <c r="Z3" i="1"/>
  <c r="J3" i="1"/>
  <c r="Z2" i="1"/>
  <c r="J2" i="1"/>
</calcChain>
</file>

<file path=xl/sharedStrings.xml><?xml version="1.0" encoding="utf-8"?>
<sst xmlns="http://schemas.openxmlformats.org/spreadsheetml/2006/main" count="266" uniqueCount="41">
  <si>
    <t>GO LIVE</t>
  </si>
  <si>
    <t>BIN GROUP</t>
  </si>
  <si>
    <t>Brand</t>
  </si>
  <si>
    <t>RPGT</t>
  </si>
  <si>
    <t>Currency</t>
  </si>
  <si>
    <t>BIN</t>
  </si>
  <si>
    <t>paymentMethodProvider</t>
  </si>
  <si>
    <t>STICKY</t>
  </si>
  <si>
    <t>Country</t>
  </si>
  <si>
    <t>Check</t>
  </si>
  <si>
    <t>DUP CHECK</t>
  </si>
  <si>
    <t>condition_1</t>
  </si>
  <si>
    <t>Upgrades</t>
  </si>
  <si>
    <t>USD</t>
  </si>
  <si>
    <t>Other</t>
  </si>
  <si>
    <t>non_gp_ap</t>
  </si>
  <si>
    <t>Both</t>
  </si>
  <si>
    <t>USA</t>
  </si>
  <si>
    <t>GBP</t>
  </si>
  <si>
    <t>EUR</t>
  </si>
  <si>
    <t>CAD</t>
  </si>
  <si>
    <t>AUD</t>
  </si>
  <si>
    <t>APPLEPAY</t>
  </si>
  <si>
    <t>GOOGLEPAY</t>
  </si>
  <si>
    <t>Non-USA</t>
  </si>
  <si>
    <t>adyen-aud-tcl</t>
  </si>
  <si>
    <t>adyen-cad-tcl</t>
  </si>
  <si>
    <t>adyen-eur-tcl</t>
  </si>
  <si>
    <t>adyen-gbp-tcl</t>
  </si>
  <si>
    <t>adyen-usd-tcl</t>
  </si>
  <si>
    <t>paysafe-gbp-tcl</t>
  </si>
  <si>
    <t>paysafe-usd-tcl</t>
  </si>
  <si>
    <t>paysafe-eur-tcl</t>
  </si>
  <si>
    <t>braintree-usd-tcl</t>
  </si>
  <si>
    <t>braintree-cad-tcl</t>
  </si>
  <si>
    <t>braintree-aud-tcl</t>
  </si>
  <si>
    <t>braintree-gbp-tcl</t>
  </si>
  <si>
    <t>braintree-eur-tcl</t>
  </si>
  <si>
    <t>adyen-usd-tcl-na</t>
  </si>
  <si>
    <t>woodforest-usd-tcl</t>
  </si>
  <si>
    <t>Total Cleaner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</si>
</sst>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2" fillId="0" borderId="0" xfId="0" applyFont="1"/>
    <xf numFmtId="3" fontId="2" fillId="0" borderId="0" xfId="0" applyNumberFormat="1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31"/>
  <sheetViews>
    <sheetView tabSelected="1" workbookViewId="0">
      <pane xSplit="10" ySplit="1" topLeftCell="K2" activePane="bottomRight" state="frozen"/>
      <selection pane="topRight" activeCell="K1" sqref="K1"/>
      <selection pane="bottomLeft" activeCell="A2" sqref="A2"/>
      <selection pane="bottomRight" activeCell="G6" sqref="G6"/>
    </sheetView>
  </sheetViews>
  <sheetFormatPr baseColWidth="10" defaultColWidth="12.6640625" defaultRowHeight="15.75" customHeight="1" x14ac:dyDescent="0.15"/>
  <cols>
    <col min="1" max="1" width="10.6640625" bestFit="1" customWidth="1"/>
    <col min="2" max="2" width="13.1640625" bestFit="1" customWidth="1"/>
    <col min="3" max="3" width="11.5" bestFit="1" customWidth="1"/>
    <col min="4" max="4" width="8.6640625" bestFit="1" customWidth="1"/>
    <col min="5" max="5" width="11.1640625" bestFit="1" customWidth="1"/>
    <col min="6" max="6" width="6.5" bestFit="1" customWidth="1"/>
    <col min="7" max="7" width="23.6640625" bestFit="1" customWidth="1"/>
    <col min="8" max="8" width="9.83203125" bestFit="1" customWidth="1"/>
    <col min="9" max="9" width="10" bestFit="1" customWidth="1"/>
    <col min="10" max="10" width="8.83203125" bestFit="1" customWidth="1"/>
    <col min="11" max="12" width="14.6640625" bestFit="1" customWidth="1"/>
    <col min="13" max="13" width="14.33203125" bestFit="1" customWidth="1"/>
    <col min="14" max="14" width="14.6640625" bestFit="1" customWidth="1"/>
    <col min="15" max="15" width="14.6640625" customWidth="1"/>
    <col min="16" max="17" width="16.1640625" bestFit="1" customWidth="1"/>
    <col min="18" max="18" width="15.83203125" bestFit="1" customWidth="1"/>
    <col min="19" max="22" width="17" bestFit="1" customWidth="1"/>
    <col min="23" max="23" width="16.6640625" bestFit="1" customWidth="1"/>
    <col min="24" max="24" width="17.1640625" bestFit="1" customWidth="1"/>
    <col min="25" max="25" width="18.83203125" bestFit="1" customWidth="1"/>
    <col min="26" max="26" width="13.5" bestFit="1" customWidth="1"/>
    <col min="27" max="28" width="21.1640625" customWidth="1"/>
    <col min="29" max="29" width="15.5" customWidth="1"/>
    <col min="30" max="30" width="16" customWidth="1"/>
    <col min="31" max="32" width="16.1640625" customWidth="1"/>
    <col min="33" max="33" width="19" customWidth="1"/>
    <col min="34" max="34" width="19.5" customWidth="1"/>
    <col min="35" max="35" width="19.33203125" customWidth="1"/>
    <col min="36" max="36" width="21.5" customWidth="1"/>
    <col min="37" max="37" width="14.6640625" customWidth="1"/>
    <col min="38" max="38" width="17.1640625" customWidth="1"/>
    <col min="39" max="39" width="21.1640625" customWidth="1"/>
    <col min="40" max="40" width="19.33203125" customWidth="1"/>
    <col min="41" max="41" width="19.6640625" customWidth="1"/>
    <col min="42" max="42" width="17.1640625" customWidth="1"/>
    <col min="43" max="43" width="19.5" customWidth="1"/>
    <col min="44" max="44" width="17" customWidth="1"/>
    <col min="45" max="45" width="19.33203125" customWidth="1"/>
    <col min="46" max="46" width="16.83203125" customWidth="1"/>
    <col min="47" max="47" width="21" customWidth="1"/>
    <col min="48" max="48" width="18.5" customWidth="1"/>
    <col min="49" max="49" width="16.6640625" customWidth="1"/>
    <col min="50" max="50" width="20.6640625" customWidth="1"/>
    <col min="51" max="51" width="18.1640625" customWidth="1"/>
    <col min="52" max="52" width="19" customWidth="1"/>
    <col min="53" max="53" width="16.5" customWidth="1"/>
    <col min="54" max="54" width="13.33203125" customWidth="1"/>
  </cols>
  <sheetData>
    <row r="1" spans="1:26" ht="15.75" customHeight="1" x14ac:dyDescent="0.1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3" t="s">
        <v>25</v>
      </c>
      <c r="L1" s="3" t="s">
        <v>26</v>
      </c>
      <c r="M1" s="3" t="s">
        <v>27</v>
      </c>
      <c r="N1" s="3" t="s">
        <v>28</v>
      </c>
      <c r="O1" s="3" t="s">
        <v>29</v>
      </c>
      <c r="P1" s="3" t="s">
        <v>30</v>
      </c>
      <c r="Q1" s="3" t="s">
        <v>31</v>
      </c>
      <c r="R1" s="3" t="s">
        <v>32</v>
      </c>
      <c r="S1" s="3" t="s">
        <v>33</v>
      </c>
      <c r="T1" s="3" t="s">
        <v>34</v>
      </c>
      <c r="U1" s="3" t="s">
        <v>35</v>
      </c>
      <c r="V1" s="3" t="s">
        <v>36</v>
      </c>
      <c r="W1" s="3" t="s">
        <v>37</v>
      </c>
      <c r="X1" s="3" t="s">
        <v>38</v>
      </c>
      <c r="Y1" s="3" t="s">
        <v>39</v>
      </c>
      <c r="Z1" s="3" t="s">
        <v>10</v>
      </c>
    </row>
    <row r="2" spans="1:26" ht="15.75" customHeight="1" x14ac:dyDescent="0.15">
      <c r="A2" s="5">
        <v>46261</v>
      </c>
      <c r="B2" s="1" t="s">
        <v>11</v>
      </c>
      <c r="C2" s="1" t="s">
        <v>40</v>
      </c>
      <c r="D2" s="1" t="s">
        <v>12</v>
      </c>
      <c r="E2" s="1" t="s">
        <v>21</v>
      </c>
      <c r="F2" s="1" t="s">
        <v>14</v>
      </c>
      <c r="G2" s="1" t="s">
        <v>15</v>
      </c>
      <c r="H2" s="1" t="s">
        <v>16</v>
      </c>
      <c r="I2" s="2" t="s">
        <v>17</v>
      </c>
      <c r="J2" s="2">
        <f>SUM(K2:Y2)</f>
        <v>100</v>
      </c>
      <c r="K2" s="1">
        <v>50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50</v>
      </c>
      <c r="V2" s="1">
        <v>0</v>
      </c>
      <c r="W2" s="1">
        <v>0</v>
      </c>
      <c r="X2" s="1">
        <v>0</v>
      </c>
      <c r="Y2" s="1">
        <v>0</v>
      </c>
      <c r="Z2" s="1">
        <f>COUNTIFS(F:F,F2,G:G,G2,E:E,E2,D:D,D2,C:C,C2,H:H,H2,A:A,A2,I:I,I2)</f>
        <v>1</v>
      </c>
    </row>
    <row r="3" spans="1:26" ht="15.75" customHeight="1" x14ac:dyDescent="0.15">
      <c r="A3" s="5">
        <v>46261</v>
      </c>
      <c r="B3" s="1" t="s">
        <v>11</v>
      </c>
      <c r="C3" s="1" t="s">
        <v>40</v>
      </c>
      <c r="D3" s="1" t="s">
        <v>12</v>
      </c>
      <c r="E3" s="1" t="s">
        <v>21</v>
      </c>
      <c r="F3" s="1" t="s">
        <v>14</v>
      </c>
      <c r="G3" s="1" t="s">
        <v>22</v>
      </c>
      <c r="H3" s="1" t="s">
        <v>16</v>
      </c>
      <c r="I3" s="2" t="s">
        <v>17</v>
      </c>
      <c r="J3" s="2">
        <f>SUM(K3:Y3)</f>
        <v>100</v>
      </c>
      <c r="K3" s="1">
        <v>50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50</v>
      </c>
      <c r="V3" s="1">
        <v>0</v>
      </c>
      <c r="W3" s="1">
        <v>0</v>
      </c>
      <c r="X3" s="1">
        <v>0</v>
      </c>
      <c r="Y3" s="1">
        <v>0</v>
      </c>
      <c r="Z3" s="1">
        <f t="shared" ref="Z3:Z7" si="0">COUNTIFS(F:F,F3,G:G,G3,E:E,E3,D:D,D3,C:C,C3,H:H,H3,A:A,A3,I:I,I3)</f>
        <v>1</v>
      </c>
    </row>
    <row r="4" spans="1:26" ht="15.75" customHeight="1" x14ac:dyDescent="0.15">
      <c r="A4" s="5">
        <v>46261</v>
      </c>
      <c r="B4" s="1" t="s">
        <v>11</v>
      </c>
      <c r="C4" s="1" t="s">
        <v>40</v>
      </c>
      <c r="D4" s="1" t="s">
        <v>12</v>
      </c>
      <c r="E4" s="1" t="s">
        <v>21</v>
      </c>
      <c r="F4" s="1" t="s">
        <v>14</v>
      </c>
      <c r="G4" s="1" t="s">
        <v>23</v>
      </c>
      <c r="H4" s="1" t="s">
        <v>16</v>
      </c>
      <c r="I4" s="2" t="s">
        <v>17</v>
      </c>
      <c r="J4" s="2">
        <f>SUM(K4:Y4)</f>
        <v>100</v>
      </c>
      <c r="K4" s="1">
        <v>50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50</v>
      </c>
      <c r="V4" s="1">
        <v>0</v>
      </c>
      <c r="W4" s="1">
        <v>0</v>
      </c>
      <c r="X4" s="1">
        <v>0</v>
      </c>
      <c r="Y4" s="1">
        <v>0</v>
      </c>
      <c r="Z4" s="1">
        <f t="shared" si="0"/>
        <v>1</v>
      </c>
    </row>
    <row r="5" spans="1:26" ht="15.75" customHeight="1" x14ac:dyDescent="0.15">
      <c r="A5" s="5">
        <v>46261</v>
      </c>
      <c r="B5" s="1" t="s">
        <v>11</v>
      </c>
      <c r="C5" s="1" t="s">
        <v>40</v>
      </c>
      <c r="D5" s="1" t="s">
        <v>12</v>
      </c>
      <c r="E5" s="1" t="s">
        <v>21</v>
      </c>
      <c r="F5" s="1" t="s">
        <v>14</v>
      </c>
      <c r="G5" s="1" t="s">
        <v>15</v>
      </c>
      <c r="H5" s="1" t="s">
        <v>16</v>
      </c>
      <c r="I5" s="2" t="s">
        <v>24</v>
      </c>
      <c r="J5" s="2">
        <f>SUM(K5:Y5)</f>
        <v>100</v>
      </c>
      <c r="K5" s="1">
        <v>50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50</v>
      </c>
      <c r="V5" s="1">
        <v>0</v>
      </c>
      <c r="W5" s="1">
        <v>0</v>
      </c>
      <c r="X5" s="1">
        <v>0</v>
      </c>
      <c r="Y5" s="1">
        <v>0</v>
      </c>
      <c r="Z5" s="1">
        <f t="shared" si="0"/>
        <v>1</v>
      </c>
    </row>
    <row r="6" spans="1:26" ht="15.75" customHeight="1" x14ac:dyDescent="0.15">
      <c r="A6" s="5">
        <v>46261</v>
      </c>
      <c r="B6" s="1" t="s">
        <v>11</v>
      </c>
      <c r="C6" s="1" t="s">
        <v>40</v>
      </c>
      <c r="D6" s="1" t="s">
        <v>12</v>
      </c>
      <c r="E6" s="1" t="s">
        <v>21</v>
      </c>
      <c r="F6" s="1" t="s">
        <v>14</v>
      </c>
      <c r="G6" s="1" t="s">
        <v>22</v>
      </c>
      <c r="H6" s="1" t="s">
        <v>16</v>
      </c>
      <c r="I6" s="2" t="s">
        <v>24</v>
      </c>
      <c r="J6" s="2">
        <f>SUM(K6:Y6)</f>
        <v>100</v>
      </c>
      <c r="K6" s="1">
        <v>50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50</v>
      </c>
      <c r="V6" s="1">
        <v>0</v>
      </c>
      <c r="W6" s="1">
        <v>0</v>
      </c>
      <c r="X6" s="1">
        <v>0</v>
      </c>
      <c r="Y6" s="1">
        <v>0</v>
      </c>
      <c r="Z6" s="1">
        <f t="shared" si="0"/>
        <v>1</v>
      </c>
    </row>
    <row r="7" spans="1:26" ht="15.75" customHeight="1" x14ac:dyDescent="0.15">
      <c r="A7" s="5">
        <v>46261</v>
      </c>
      <c r="B7" s="1" t="s">
        <v>11</v>
      </c>
      <c r="C7" s="1" t="s">
        <v>40</v>
      </c>
      <c r="D7" s="1" t="s">
        <v>12</v>
      </c>
      <c r="E7" s="1" t="s">
        <v>21</v>
      </c>
      <c r="F7" s="1" t="s">
        <v>14</v>
      </c>
      <c r="G7" s="1" t="s">
        <v>23</v>
      </c>
      <c r="H7" s="1" t="s">
        <v>16</v>
      </c>
      <c r="I7" s="2" t="s">
        <v>24</v>
      </c>
      <c r="J7" s="2">
        <f>SUM(K7:Y7)</f>
        <v>100</v>
      </c>
      <c r="K7" s="1">
        <v>50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50</v>
      </c>
      <c r="V7" s="1">
        <v>0</v>
      </c>
      <c r="W7" s="1">
        <v>0</v>
      </c>
      <c r="X7" s="1">
        <v>0</v>
      </c>
      <c r="Y7" s="1">
        <v>0</v>
      </c>
      <c r="Z7" s="1">
        <f t="shared" si="0"/>
        <v>1</v>
      </c>
    </row>
    <row r="8" spans="1:26" ht="15.75" customHeight="1" x14ac:dyDescent="0.15">
      <c r="A8" s="5">
        <v>46261</v>
      </c>
      <c r="B8" s="1" t="s">
        <v>11</v>
      </c>
      <c r="C8" s="1" t="s">
        <v>40</v>
      </c>
      <c r="D8" s="1" t="s">
        <v>12</v>
      </c>
      <c r="E8" s="1" t="s">
        <v>20</v>
      </c>
      <c r="F8" s="1" t="s">
        <v>14</v>
      </c>
      <c r="G8" s="1" t="s">
        <v>15</v>
      </c>
      <c r="H8" s="1" t="s">
        <v>16</v>
      </c>
      <c r="I8" s="2" t="s">
        <v>17</v>
      </c>
      <c r="J8" s="2">
        <f>SUM(K8:Y8)</f>
        <v>100</v>
      </c>
      <c r="K8" s="1">
        <v>0</v>
      </c>
      <c r="L8" s="1">
        <v>50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50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f>COUNTIFS(F:F,F8,G:G,G8,E:E,E8,D:D,D8,C:C,C8,H:H,H8,A:A,A8,I:I,I8)</f>
        <v>1</v>
      </c>
    </row>
    <row r="9" spans="1:26" ht="15.75" customHeight="1" x14ac:dyDescent="0.15">
      <c r="A9" s="5">
        <v>46261</v>
      </c>
      <c r="B9" s="1" t="s">
        <v>11</v>
      </c>
      <c r="C9" s="1" t="s">
        <v>40</v>
      </c>
      <c r="D9" s="1" t="s">
        <v>12</v>
      </c>
      <c r="E9" s="1" t="s">
        <v>20</v>
      </c>
      <c r="F9" s="1" t="s">
        <v>14</v>
      </c>
      <c r="G9" s="1" t="s">
        <v>22</v>
      </c>
      <c r="H9" s="1" t="s">
        <v>16</v>
      </c>
      <c r="I9" s="2" t="s">
        <v>17</v>
      </c>
      <c r="J9" s="2">
        <f>SUM(K9:Y9)</f>
        <v>100</v>
      </c>
      <c r="K9" s="1">
        <v>0</v>
      </c>
      <c r="L9" s="1">
        <v>50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50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f>COUNTIFS(F:F,F9,G:G,G9,E:E,E9,D:D,D9,C:C,C9,H:H,H9,A:A,A9,I:I,I9)</f>
        <v>1</v>
      </c>
    </row>
    <row r="10" spans="1:26" ht="15.75" customHeight="1" x14ac:dyDescent="0.15">
      <c r="A10" s="5">
        <v>46261</v>
      </c>
      <c r="B10" s="1" t="s">
        <v>11</v>
      </c>
      <c r="C10" s="1" t="s">
        <v>40</v>
      </c>
      <c r="D10" s="1" t="s">
        <v>12</v>
      </c>
      <c r="E10" s="1" t="s">
        <v>20</v>
      </c>
      <c r="F10" s="1" t="s">
        <v>14</v>
      </c>
      <c r="G10" s="1" t="s">
        <v>23</v>
      </c>
      <c r="H10" s="1" t="s">
        <v>16</v>
      </c>
      <c r="I10" s="2" t="s">
        <v>17</v>
      </c>
      <c r="J10" s="2">
        <f>SUM(K10:Y10)</f>
        <v>100</v>
      </c>
      <c r="K10" s="1">
        <v>0</v>
      </c>
      <c r="L10" s="1">
        <v>50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50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f>COUNTIFS(F:F,F10,G:G,G10,E:E,E10,D:D,D10,C:C,C10,H:H,H10,A:A,A10,I:I,I10)</f>
        <v>1</v>
      </c>
    </row>
    <row r="11" spans="1:26" ht="15.75" customHeight="1" x14ac:dyDescent="0.15">
      <c r="A11" s="5">
        <v>46261</v>
      </c>
      <c r="B11" s="1" t="s">
        <v>11</v>
      </c>
      <c r="C11" s="1" t="s">
        <v>40</v>
      </c>
      <c r="D11" s="1" t="s">
        <v>12</v>
      </c>
      <c r="E11" s="1" t="s">
        <v>20</v>
      </c>
      <c r="F11" s="1" t="s">
        <v>14</v>
      </c>
      <c r="G11" s="1" t="s">
        <v>15</v>
      </c>
      <c r="H11" s="1" t="s">
        <v>16</v>
      </c>
      <c r="I11" s="2" t="s">
        <v>24</v>
      </c>
      <c r="J11" s="2">
        <f>SUM(K11:Y11)</f>
        <v>100</v>
      </c>
      <c r="K11" s="1">
        <v>0</v>
      </c>
      <c r="L11" s="1">
        <v>50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50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f>COUNTIFS(F:F,F11,G:G,G11,E:E,E11,D:D,D11,C:C,C11,H:H,H11,A:A,A11,I:I,I11)</f>
        <v>1</v>
      </c>
    </row>
    <row r="12" spans="1:26" ht="15.75" customHeight="1" x14ac:dyDescent="0.15">
      <c r="A12" s="5">
        <v>46261</v>
      </c>
      <c r="B12" s="1" t="s">
        <v>11</v>
      </c>
      <c r="C12" s="1" t="s">
        <v>40</v>
      </c>
      <c r="D12" s="1" t="s">
        <v>12</v>
      </c>
      <c r="E12" s="1" t="s">
        <v>20</v>
      </c>
      <c r="F12" s="1" t="s">
        <v>14</v>
      </c>
      <c r="G12" s="1" t="s">
        <v>22</v>
      </c>
      <c r="H12" s="1" t="s">
        <v>16</v>
      </c>
      <c r="I12" s="2" t="s">
        <v>24</v>
      </c>
      <c r="J12" s="2">
        <f>SUM(K12:Y12)</f>
        <v>100</v>
      </c>
      <c r="K12" s="1">
        <v>0</v>
      </c>
      <c r="L12" s="1">
        <v>50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50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f>COUNTIFS(F:F,F12,G:G,G12,E:E,E12,D:D,D12,C:C,C12,H:H,H12,A:A,A12,I:I,I12)</f>
        <v>1</v>
      </c>
    </row>
    <row r="13" spans="1:26" ht="15.75" customHeight="1" x14ac:dyDescent="0.15">
      <c r="A13" s="5">
        <v>46261</v>
      </c>
      <c r="B13" s="1" t="s">
        <v>11</v>
      </c>
      <c r="C13" s="1" t="s">
        <v>40</v>
      </c>
      <c r="D13" s="1" t="s">
        <v>12</v>
      </c>
      <c r="E13" s="1" t="s">
        <v>20</v>
      </c>
      <c r="F13" s="1" t="s">
        <v>14</v>
      </c>
      <c r="G13" s="1" t="s">
        <v>23</v>
      </c>
      <c r="H13" s="1" t="s">
        <v>16</v>
      </c>
      <c r="I13" s="2" t="s">
        <v>24</v>
      </c>
      <c r="J13" s="2">
        <f>SUM(K13:Y13)</f>
        <v>100</v>
      </c>
      <c r="K13" s="1">
        <v>0</v>
      </c>
      <c r="L13" s="1">
        <v>50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50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f>COUNTIFS(F:F,F13,G:G,G13,E:E,E13,D:D,D13,C:C,C13,H:H,H13,A:A,A13,I:I,I13)</f>
        <v>1</v>
      </c>
    </row>
    <row r="14" spans="1:26" ht="15.75" customHeight="1" x14ac:dyDescent="0.15">
      <c r="A14" s="5">
        <v>46261</v>
      </c>
      <c r="B14" s="1" t="s">
        <v>11</v>
      </c>
      <c r="C14" s="1" t="s">
        <v>40</v>
      </c>
      <c r="D14" s="1" t="s">
        <v>12</v>
      </c>
      <c r="E14" s="1" t="s">
        <v>19</v>
      </c>
      <c r="F14" s="1" t="s">
        <v>14</v>
      </c>
      <c r="G14" s="1" t="s">
        <v>15</v>
      </c>
      <c r="H14" s="1" t="s">
        <v>16</v>
      </c>
      <c r="I14" s="2" t="s">
        <v>17</v>
      </c>
      <c r="J14" s="2">
        <f>SUM(K14:Y14)</f>
        <v>100</v>
      </c>
      <c r="K14" s="1">
        <v>0</v>
      </c>
      <c r="L14" s="1">
        <v>0</v>
      </c>
      <c r="M14" s="1">
        <v>40</v>
      </c>
      <c r="N14" s="1">
        <v>0</v>
      </c>
      <c r="O14" s="1">
        <v>0</v>
      </c>
      <c r="P14" s="1">
        <v>0</v>
      </c>
      <c r="Q14" s="1">
        <v>0</v>
      </c>
      <c r="R14" s="1">
        <v>30</v>
      </c>
      <c r="S14" s="1">
        <v>0</v>
      </c>
      <c r="T14" s="1">
        <v>0</v>
      </c>
      <c r="U14" s="1">
        <v>0</v>
      </c>
      <c r="V14" s="1">
        <v>0</v>
      </c>
      <c r="W14" s="1">
        <v>30</v>
      </c>
      <c r="X14" s="1">
        <v>0</v>
      </c>
      <c r="Y14" s="1">
        <v>0</v>
      </c>
      <c r="Z14" s="1">
        <f>COUNTIFS(F:F,F14,G:G,G14,E:E,E14,D:D,D14,C:C,C14,H:H,H14,A:A,A14,I:I,I14)</f>
        <v>1</v>
      </c>
    </row>
    <row r="15" spans="1:26" ht="15.75" customHeight="1" x14ac:dyDescent="0.15">
      <c r="A15" s="5">
        <v>46261</v>
      </c>
      <c r="B15" s="1" t="s">
        <v>11</v>
      </c>
      <c r="C15" s="1" t="s">
        <v>40</v>
      </c>
      <c r="D15" s="1" t="s">
        <v>12</v>
      </c>
      <c r="E15" s="1" t="s">
        <v>19</v>
      </c>
      <c r="F15" s="1" t="s">
        <v>14</v>
      </c>
      <c r="G15" s="1" t="s">
        <v>22</v>
      </c>
      <c r="H15" s="1" t="s">
        <v>16</v>
      </c>
      <c r="I15" s="2" t="s">
        <v>17</v>
      </c>
      <c r="J15" s="2">
        <f>SUM(K15:Y15)</f>
        <v>100</v>
      </c>
      <c r="K15" s="1">
        <v>0</v>
      </c>
      <c r="L15" s="1">
        <v>0</v>
      </c>
      <c r="M15" s="1">
        <v>40</v>
      </c>
      <c r="N15" s="1">
        <v>0</v>
      </c>
      <c r="O15" s="1">
        <v>0</v>
      </c>
      <c r="P15" s="1">
        <v>0</v>
      </c>
      <c r="Q15" s="1">
        <v>0</v>
      </c>
      <c r="R15" s="1">
        <v>30</v>
      </c>
      <c r="S15" s="1">
        <v>0</v>
      </c>
      <c r="T15" s="1">
        <v>0</v>
      </c>
      <c r="U15" s="1">
        <v>0</v>
      </c>
      <c r="V15" s="1">
        <v>0</v>
      </c>
      <c r="W15" s="1">
        <v>30</v>
      </c>
      <c r="X15" s="1">
        <v>0</v>
      </c>
      <c r="Y15" s="1">
        <v>0</v>
      </c>
      <c r="Z15" s="1">
        <f>COUNTIFS(F:F,F15,G:G,G15,E:E,E15,D:D,D15,C:C,C15,H:H,H15,A:A,A15,I:I,I15)</f>
        <v>1</v>
      </c>
    </row>
    <row r="16" spans="1:26" ht="15.75" customHeight="1" x14ac:dyDescent="0.15">
      <c r="A16" s="5">
        <v>46261</v>
      </c>
      <c r="B16" s="1" t="s">
        <v>11</v>
      </c>
      <c r="C16" s="1" t="s">
        <v>40</v>
      </c>
      <c r="D16" s="1" t="s">
        <v>12</v>
      </c>
      <c r="E16" s="1" t="s">
        <v>19</v>
      </c>
      <c r="F16" s="1" t="s">
        <v>14</v>
      </c>
      <c r="G16" s="1" t="s">
        <v>23</v>
      </c>
      <c r="H16" s="1" t="s">
        <v>16</v>
      </c>
      <c r="I16" s="2" t="s">
        <v>17</v>
      </c>
      <c r="J16" s="2">
        <f>SUM(K16:Y16)</f>
        <v>100</v>
      </c>
      <c r="K16" s="1">
        <v>0</v>
      </c>
      <c r="L16" s="1">
        <v>0</v>
      </c>
      <c r="M16" s="1">
        <v>40</v>
      </c>
      <c r="N16" s="1">
        <v>0</v>
      </c>
      <c r="O16" s="1">
        <v>0</v>
      </c>
      <c r="P16" s="1">
        <v>0</v>
      </c>
      <c r="Q16" s="1">
        <v>0</v>
      </c>
      <c r="R16" s="1">
        <v>30</v>
      </c>
      <c r="S16" s="1">
        <v>0</v>
      </c>
      <c r="T16" s="1">
        <v>0</v>
      </c>
      <c r="U16" s="1">
        <v>0</v>
      </c>
      <c r="V16" s="1">
        <v>0</v>
      </c>
      <c r="W16" s="1">
        <v>30</v>
      </c>
      <c r="X16" s="1">
        <v>0</v>
      </c>
      <c r="Y16" s="1">
        <v>0</v>
      </c>
      <c r="Z16" s="1">
        <f>COUNTIFS(F:F,F16,G:G,G16,E:E,E16,D:D,D16,C:C,C16,H:H,H16,A:A,A16,I:I,I16)</f>
        <v>1</v>
      </c>
    </row>
    <row r="17" spans="1:26" ht="15.75" customHeight="1" x14ac:dyDescent="0.15">
      <c r="A17" s="5">
        <v>46261</v>
      </c>
      <c r="B17" s="1" t="s">
        <v>11</v>
      </c>
      <c r="C17" s="1" t="s">
        <v>40</v>
      </c>
      <c r="D17" s="1" t="s">
        <v>12</v>
      </c>
      <c r="E17" s="1" t="s">
        <v>19</v>
      </c>
      <c r="F17" s="1" t="s">
        <v>14</v>
      </c>
      <c r="G17" s="1" t="s">
        <v>15</v>
      </c>
      <c r="H17" s="1" t="s">
        <v>16</v>
      </c>
      <c r="I17" s="2" t="s">
        <v>24</v>
      </c>
      <c r="J17" s="2">
        <f>SUM(K17:Y17)</f>
        <v>100</v>
      </c>
      <c r="K17" s="1">
        <v>0</v>
      </c>
      <c r="L17" s="1">
        <v>0</v>
      </c>
      <c r="M17" s="1">
        <v>40</v>
      </c>
      <c r="N17" s="1">
        <v>0</v>
      </c>
      <c r="O17" s="1">
        <v>0</v>
      </c>
      <c r="P17" s="1">
        <v>0</v>
      </c>
      <c r="Q17" s="1">
        <v>0</v>
      </c>
      <c r="R17" s="1">
        <v>30</v>
      </c>
      <c r="S17" s="1">
        <v>0</v>
      </c>
      <c r="T17" s="1">
        <v>0</v>
      </c>
      <c r="U17" s="1">
        <v>0</v>
      </c>
      <c r="V17" s="1">
        <v>0</v>
      </c>
      <c r="W17" s="1">
        <v>30</v>
      </c>
      <c r="X17" s="1">
        <v>0</v>
      </c>
      <c r="Y17" s="1">
        <v>0</v>
      </c>
      <c r="Z17" s="1">
        <f>COUNTIFS(F:F,F17,G:G,G17,E:E,E17,D:D,D17,C:C,C17,H:H,H17,A:A,A17,I:I,I17)</f>
        <v>1</v>
      </c>
    </row>
    <row r="18" spans="1:26" ht="15.75" customHeight="1" x14ac:dyDescent="0.15">
      <c r="A18" s="5">
        <v>46261</v>
      </c>
      <c r="B18" s="1" t="s">
        <v>11</v>
      </c>
      <c r="C18" s="1" t="s">
        <v>40</v>
      </c>
      <c r="D18" s="1" t="s">
        <v>12</v>
      </c>
      <c r="E18" s="1" t="s">
        <v>19</v>
      </c>
      <c r="F18" s="1" t="s">
        <v>14</v>
      </c>
      <c r="G18" s="1" t="s">
        <v>22</v>
      </c>
      <c r="H18" s="1" t="s">
        <v>16</v>
      </c>
      <c r="I18" s="2" t="s">
        <v>24</v>
      </c>
      <c r="J18" s="2">
        <f>SUM(K18:Y18)</f>
        <v>100</v>
      </c>
      <c r="K18" s="1">
        <v>0</v>
      </c>
      <c r="L18" s="1">
        <v>0</v>
      </c>
      <c r="M18" s="1">
        <v>40</v>
      </c>
      <c r="N18" s="1">
        <v>0</v>
      </c>
      <c r="O18" s="1">
        <v>0</v>
      </c>
      <c r="P18" s="1">
        <v>0</v>
      </c>
      <c r="Q18" s="1">
        <v>0</v>
      </c>
      <c r="R18" s="1">
        <v>30</v>
      </c>
      <c r="S18" s="1">
        <v>0</v>
      </c>
      <c r="T18" s="1">
        <v>0</v>
      </c>
      <c r="U18" s="1">
        <v>0</v>
      </c>
      <c r="V18" s="1">
        <v>0</v>
      </c>
      <c r="W18" s="1">
        <v>30</v>
      </c>
      <c r="X18" s="1">
        <v>0</v>
      </c>
      <c r="Y18" s="1">
        <v>0</v>
      </c>
      <c r="Z18" s="1">
        <f>COUNTIFS(F:F,F18,G:G,G18,E:E,E18,D:D,D18,C:C,C18,H:H,H18,A:A,A18,I:I,I18)</f>
        <v>1</v>
      </c>
    </row>
    <row r="19" spans="1:26" ht="15.75" customHeight="1" x14ac:dyDescent="0.15">
      <c r="A19" s="5">
        <v>46261</v>
      </c>
      <c r="B19" s="1" t="s">
        <v>11</v>
      </c>
      <c r="C19" s="1" t="s">
        <v>40</v>
      </c>
      <c r="D19" s="1" t="s">
        <v>12</v>
      </c>
      <c r="E19" s="1" t="s">
        <v>19</v>
      </c>
      <c r="F19" s="1" t="s">
        <v>14</v>
      </c>
      <c r="G19" s="1" t="s">
        <v>23</v>
      </c>
      <c r="H19" s="1" t="s">
        <v>16</v>
      </c>
      <c r="I19" s="2" t="s">
        <v>24</v>
      </c>
      <c r="J19" s="2">
        <f>SUM(K19:Y19)</f>
        <v>100</v>
      </c>
      <c r="K19" s="1">
        <v>0</v>
      </c>
      <c r="L19" s="1">
        <v>0</v>
      </c>
      <c r="M19" s="1">
        <v>40</v>
      </c>
      <c r="N19" s="1">
        <v>0</v>
      </c>
      <c r="O19" s="1">
        <v>0</v>
      </c>
      <c r="P19" s="1">
        <v>0</v>
      </c>
      <c r="Q19" s="1">
        <v>0</v>
      </c>
      <c r="R19" s="1">
        <v>30</v>
      </c>
      <c r="S19" s="1">
        <v>0</v>
      </c>
      <c r="T19" s="1">
        <v>0</v>
      </c>
      <c r="U19" s="1">
        <v>0</v>
      </c>
      <c r="V19" s="1">
        <v>0</v>
      </c>
      <c r="W19" s="1">
        <v>30</v>
      </c>
      <c r="X19" s="1">
        <v>0</v>
      </c>
      <c r="Y19" s="1">
        <v>0</v>
      </c>
      <c r="Z19" s="1">
        <f>COUNTIFS(F:F,F19,G:G,G19,E:E,E19,D:D,D19,C:C,C19,H:H,H19,A:A,A19,I:I,I19)</f>
        <v>1</v>
      </c>
    </row>
    <row r="20" spans="1:26" ht="15.75" customHeight="1" x14ac:dyDescent="0.15">
      <c r="A20" s="5">
        <v>46261</v>
      </c>
      <c r="B20" s="1" t="s">
        <v>11</v>
      </c>
      <c r="C20" s="1" t="s">
        <v>40</v>
      </c>
      <c r="D20" s="1" t="s">
        <v>12</v>
      </c>
      <c r="E20" s="1" t="s">
        <v>18</v>
      </c>
      <c r="F20" s="1" t="s">
        <v>14</v>
      </c>
      <c r="G20" s="1" t="s">
        <v>15</v>
      </c>
      <c r="H20" s="1" t="s">
        <v>16</v>
      </c>
      <c r="I20" s="2" t="s">
        <v>17</v>
      </c>
      <c r="J20" s="2">
        <f>SUM(K20:Y20)</f>
        <v>100</v>
      </c>
      <c r="K20" s="1">
        <v>0</v>
      </c>
      <c r="L20" s="1">
        <v>0</v>
      </c>
      <c r="M20" s="1">
        <v>0</v>
      </c>
      <c r="N20" s="1">
        <v>40</v>
      </c>
      <c r="O20" s="1">
        <v>0</v>
      </c>
      <c r="P20" s="1">
        <v>30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30</v>
      </c>
      <c r="W20" s="1">
        <v>0</v>
      </c>
      <c r="X20" s="1">
        <v>0</v>
      </c>
      <c r="Y20" s="1">
        <v>0</v>
      </c>
      <c r="Z20" s="1">
        <f>COUNTIFS(F:F,F20,G:G,G20,E:E,E20,D:D,D20,C:C,C20,H:H,H20,A:A,A20,I:I,I20)</f>
        <v>1</v>
      </c>
    </row>
    <row r="21" spans="1:26" ht="15.75" customHeight="1" x14ac:dyDescent="0.15">
      <c r="A21" s="5">
        <v>46261</v>
      </c>
      <c r="B21" s="1" t="s">
        <v>11</v>
      </c>
      <c r="C21" s="1" t="s">
        <v>40</v>
      </c>
      <c r="D21" s="1" t="s">
        <v>12</v>
      </c>
      <c r="E21" s="1" t="s">
        <v>18</v>
      </c>
      <c r="F21" s="1" t="s">
        <v>14</v>
      </c>
      <c r="G21" s="1" t="s">
        <v>22</v>
      </c>
      <c r="H21" s="1" t="s">
        <v>16</v>
      </c>
      <c r="I21" s="2" t="s">
        <v>17</v>
      </c>
      <c r="J21" s="2">
        <f>SUM(K21:Y21)</f>
        <v>100</v>
      </c>
      <c r="K21" s="1">
        <v>0</v>
      </c>
      <c r="L21" s="1">
        <v>0</v>
      </c>
      <c r="M21" s="1">
        <v>0</v>
      </c>
      <c r="N21" s="1">
        <v>40</v>
      </c>
      <c r="O21" s="1">
        <v>0</v>
      </c>
      <c r="P21" s="1">
        <v>30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30</v>
      </c>
      <c r="W21" s="1">
        <v>0</v>
      </c>
      <c r="X21" s="1">
        <v>0</v>
      </c>
      <c r="Y21" s="1">
        <v>0</v>
      </c>
      <c r="Z21" s="1">
        <f>COUNTIFS(F:F,F21,G:G,G21,E:E,E21,D:D,D21,C:C,C21,H:H,H21,A:A,A21,I:I,I21)</f>
        <v>1</v>
      </c>
    </row>
    <row r="22" spans="1:26" ht="15.75" customHeight="1" x14ac:dyDescent="0.15">
      <c r="A22" s="5">
        <v>46261</v>
      </c>
      <c r="B22" s="1" t="s">
        <v>11</v>
      </c>
      <c r="C22" s="1" t="s">
        <v>40</v>
      </c>
      <c r="D22" s="1" t="s">
        <v>12</v>
      </c>
      <c r="E22" s="1" t="s">
        <v>18</v>
      </c>
      <c r="F22" s="1" t="s">
        <v>14</v>
      </c>
      <c r="G22" s="1" t="s">
        <v>23</v>
      </c>
      <c r="H22" s="1" t="s">
        <v>16</v>
      </c>
      <c r="I22" s="2" t="s">
        <v>17</v>
      </c>
      <c r="J22" s="2">
        <f>SUM(K22:Y22)</f>
        <v>100</v>
      </c>
      <c r="K22" s="1">
        <v>0</v>
      </c>
      <c r="L22" s="1">
        <v>0</v>
      </c>
      <c r="M22" s="1">
        <v>0</v>
      </c>
      <c r="N22" s="1">
        <v>40</v>
      </c>
      <c r="O22" s="1">
        <v>0</v>
      </c>
      <c r="P22" s="1">
        <v>30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30</v>
      </c>
      <c r="W22" s="1">
        <v>0</v>
      </c>
      <c r="X22" s="1">
        <v>0</v>
      </c>
      <c r="Y22" s="1">
        <v>0</v>
      </c>
      <c r="Z22" s="1">
        <f>COUNTIFS(F:F,F22,G:G,G22,E:E,E22,D:D,D22,C:C,C22,H:H,H22,A:A,A22,I:I,I22)</f>
        <v>1</v>
      </c>
    </row>
    <row r="23" spans="1:26" ht="15.75" customHeight="1" x14ac:dyDescent="0.15">
      <c r="A23" s="5">
        <v>46261</v>
      </c>
      <c r="B23" s="1" t="s">
        <v>11</v>
      </c>
      <c r="C23" s="1" t="s">
        <v>40</v>
      </c>
      <c r="D23" s="1" t="s">
        <v>12</v>
      </c>
      <c r="E23" s="1" t="s">
        <v>18</v>
      </c>
      <c r="F23" s="1" t="s">
        <v>14</v>
      </c>
      <c r="G23" s="1" t="s">
        <v>15</v>
      </c>
      <c r="H23" s="1" t="s">
        <v>16</v>
      </c>
      <c r="I23" s="2" t="s">
        <v>24</v>
      </c>
      <c r="J23" s="2">
        <f>SUM(K23:Y23)</f>
        <v>100</v>
      </c>
      <c r="K23" s="1">
        <v>0</v>
      </c>
      <c r="L23" s="1">
        <v>0</v>
      </c>
      <c r="M23" s="1">
        <v>0</v>
      </c>
      <c r="N23" s="1">
        <v>40</v>
      </c>
      <c r="O23" s="1">
        <v>0</v>
      </c>
      <c r="P23" s="1">
        <v>30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30</v>
      </c>
      <c r="W23" s="1">
        <v>0</v>
      </c>
      <c r="X23" s="1">
        <v>0</v>
      </c>
      <c r="Y23" s="1">
        <v>0</v>
      </c>
      <c r="Z23" s="1">
        <f>COUNTIFS(F:F,F23,G:G,G23,E:E,E23,D:D,D23,C:C,C23,H:H,H23,A:A,A23,I:I,I23)</f>
        <v>1</v>
      </c>
    </row>
    <row r="24" spans="1:26" ht="15.75" customHeight="1" x14ac:dyDescent="0.15">
      <c r="A24" s="5">
        <v>46261</v>
      </c>
      <c r="B24" s="1" t="s">
        <v>11</v>
      </c>
      <c r="C24" s="1" t="s">
        <v>40</v>
      </c>
      <c r="D24" s="1" t="s">
        <v>12</v>
      </c>
      <c r="E24" s="1" t="s">
        <v>18</v>
      </c>
      <c r="F24" s="1" t="s">
        <v>14</v>
      </c>
      <c r="G24" s="1" t="s">
        <v>22</v>
      </c>
      <c r="H24" s="1" t="s">
        <v>16</v>
      </c>
      <c r="I24" s="2" t="s">
        <v>24</v>
      </c>
      <c r="J24" s="2">
        <f>SUM(K24:Y24)</f>
        <v>100</v>
      </c>
      <c r="K24" s="1">
        <v>0</v>
      </c>
      <c r="L24" s="1">
        <v>0</v>
      </c>
      <c r="M24" s="1">
        <v>0</v>
      </c>
      <c r="N24" s="1">
        <v>40</v>
      </c>
      <c r="O24" s="1">
        <v>0</v>
      </c>
      <c r="P24" s="1">
        <v>30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30</v>
      </c>
      <c r="W24" s="1">
        <v>0</v>
      </c>
      <c r="X24" s="1">
        <v>0</v>
      </c>
      <c r="Y24" s="1">
        <v>0</v>
      </c>
      <c r="Z24" s="1">
        <f>COUNTIFS(F:F,F24,G:G,G24,E:E,E24,D:D,D24,C:C,C24,H:H,H24,A:A,A24,I:I,I24)</f>
        <v>1</v>
      </c>
    </row>
    <row r="25" spans="1:26" ht="15.75" customHeight="1" x14ac:dyDescent="0.15">
      <c r="A25" s="5">
        <v>46261</v>
      </c>
      <c r="B25" s="1" t="s">
        <v>11</v>
      </c>
      <c r="C25" s="1" t="s">
        <v>40</v>
      </c>
      <c r="D25" s="1" t="s">
        <v>12</v>
      </c>
      <c r="E25" s="1" t="s">
        <v>18</v>
      </c>
      <c r="F25" s="1" t="s">
        <v>14</v>
      </c>
      <c r="G25" s="1" t="s">
        <v>23</v>
      </c>
      <c r="H25" s="1" t="s">
        <v>16</v>
      </c>
      <c r="I25" s="2" t="s">
        <v>24</v>
      </c>
      <c r="J25" s="2">
        <f>SUM(K25:Y25)</f>
        <v>100</v>
      </c>
      <c r="K25" s="1">
        <v>0</v>
      </c>
      <c r="L25" s="1">
        <v>0</v>
      </c>
      <c r="M25" s="1">
        <v>0</v>
      </c>
      <c r="N25" s="1">
        <v>40</v>
      </c>
      <c r="O25" s="1">
        <v>0</v>
      </c>
      <c r="P25" s="1">
        <v>30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30</v>
      </c>
      <c r="W25" s="1">
        <v>0</v>
      </c>
      <c r="X25" s="1">
        <v>0</v>
      </c>
      <c r="Y25" s="1">
        <v>0</v>
      </c>
      <c r="Z25" s="1">
        <f>COUNTIFS(F:F,F25,G:G,G25,E:E,E25,D:D,D25,C:C,C25,H:H,H25,A:A,A25,I:I,I25)</f>
        <v>1</v>
      </c>
    </row>
    <row r="26" spans="1:26" ht="15.75" customHeight="1" x14ac:dyDescent="0.15">
      <c r="A26" s="5">
        <v>46261</v>
      </c>
      <c r="B26" s="1" t="s">
        <v>11</v>
      </c>
      <c r="C26" s="1" t="s">
        <v>40</v>
      </c>
      <c r="D26" s="1" t="s">
        <v>12</v>
      </c>
      <c r="E26" s="1" t="s">
        <v>13</v>
      </c>
      <c r="F26" s="1" t="s">
        <v>14</v>
      </c>
      <c r="G26" s="1" t="s">
        <v>15</v>
      </c>
      <c r="H26" s="1" t="s">
        <v>16</v>
      </c>
      <c r="I26" s="2" t="s">
        <v>17</v>
      </c>
      <c r="J26" s="2">
        <f>SUM(K26:Y26)</f>
        <v>100</v>
      </c>
      <c r="K26" s="1">
        <v>0</v>
      </c>
      <c r="L26" s="1">
        <v>0</v>
      </c>
      <c r="M26" s="1">
        <v>0</v>
      </c>
      <c r="N26" s="1">
        <v>0</v>
      </c>
      <c r="O26" s="1">
        <v>30</v>
      </c>
      <c r="P26" s="1">
        <v>0</v>
      </c>
      <c r="Q26" s="1">
        <v>10</v>
      </c>
      <c r="R26" s="1">
        <v>0</v>
      </c>
      <c r="S26" s="1">
        <v>30</v>
      </c>
      <c r="T26" s="1">
        <v>0</v>
      </c>
      <c r="U26" s="1">
        <v>0</v>
      </c>
      <c r="V26" s="1">
        <v>0</v>
      </c>
      <c r="W26" s="1">
        <v>0</v>
      </c>
      <c r="X26" s="1">
        <v>30</v>
      </c>
      <c r="Y26" s="1">
        <v>0</v>
      </c>
      <c r="Z26" s="1">
        <f>COUNTIFS(F:F,F26,G:G,G26,E:E,E26,D:D,D26,C:C,C26,H:H,H26,A:A,A26,I:I,I26)</f>
        <v>1</v>
      </c>
    </row>
    <row r="27" spans="1:26" ht="15.75" customHeight="1" x14ac:dyDescent="0.15">
      <c r="A27" s="5">
        <v>46261</v>
      </c>
      <c r="B27" s="1" t="s">
        <v>11</v>
      </c>
      <c r="C27" s="1" t="s">
        <v>40</v>
      </c>
      <c r="D27" s="1" t="s">
        <v>12</v>
      </c>
      <c r="E27" s="1" t="s">
        <v>13</v>
      </c>
      <c r="F27" s="1" t="s">
        <v>14</v>
      </c>
      <c r="G27" s="1" t="s">
        <v>22</v>
      </c>
      <c r="H27" s="1" t="s">
        <v>16</v>
      </c>
      <c r="I27" s="2" t="s">
        <v>17</v>
      </c>
      <c r="J27" s="2">
        <f>SUM(K27:Y27)</f>
        <v>100</v>
      </c>
      <c r="K27" s="1">
        <v>0</v>
      </c>
      <c r="L27" s="1">
        <v>0</v>
      </c>
      <c r="M27" s="1">
        <v>0</v>
      </c>
      <c r="N27" s="1">
        <v>0</v>
      </c>
      <c r="O27" s="1">
        <v>30</v>
      </c>
      <c r="P27" s="1">
        <v>0</v>
      </c>
      <c r="Q27" s="1">
        <v>10</v>
      </c>
      <c r="R27" s="1">
        <v>0</v>
      </c>
      <c r="S27" s="1">
        <v>30</v>
      </c>
      <c r="T27" s="1">
        <v>0</v>
      </c>
      <c r="U27" s="1">
        <v>0</v>
      </c>
      <c r="V27" s="1">
        <v>0</v>
      </c>
      <c r="W27" s="1">
        <v>0</v>
      </c>
      <c r="X27" s="1">
        <v>30</v>
      </c>
      <c r="Y27" s="1">
        <v>0</v>
      </c>
      <c r="Z27" s="1">
        <f>COUNTIFS(F:F,F27,G:G,G27,E:E,E27,D:D,D27,C:C,C27,H:H,H27,A:A,A27,I:I,I27)</f>
        <v>1</v>
      </c>
    </row>
    <row r="28" spans="1:26" ht="15.75" customHeight="1" x14ac:dyDescent="0.15">
      <c r="A28" s="5">
        <v>46261</v>
      </c>
      <c r="B28" s="1" t="s">
        <v>11</v>
      </c>
      <c r="C28" s="1" t="s">
        <v>40</v>
      </c>
      <c r="D28" s="1" t="s">
        <v>12</v>
      </c>
      <c r="E28" s="1" t="s">
        <v>13</v>
      </c>
      <c r="F28" s="1" t="s">
        <v>14</v>
      </c>
      <c r="G28" s="1" t="s">
        <v>23</v>
      </c>
      <c r="H28" s="1" t="s">
        <v>16</v>
      </c>
      <c r="I28" s="2" t="s">
        <v>17</v>
      </c>
      <c r="J28" s="2">
        <f>SUM(K28:Y28)</f>
        <v>100</v>
      </c>
      <c r="K28" s="1">
        <v>0</v>
      </c>
      <c r="L28" s="1">
        <v>0</v>
      </c>
      <c r="M28" s="1">
        <v>0</v>
      </c>
      <c r="N28" s="1">
        <v>0</v>
      </c>
      <c r="O28" s="1">
        <v>30</v>
      </c>
      <c r="P28" s="1">
        <v>0</v>
      </c>
      <c r="Q28" s="1">
        <v>10</v>
      </c>
      <c r="R28" s="1">
        <v>0</v>
      </c>
      <c r="S28" s="1">
        <v>30</v>
      </c>
      <c r="T28" s="1">
        <v>0</v>
      </c>
      <c r="U28" s="1">
        <v>0</v>
      </c>
      <c r="V28" s="1">
        <v>0</v>
      </c>
      <c r="W28" s="1">
        <v>0</v>
      </c>
      <c r="X28" s="1">
        <v>30</v>
      </c>
      <c r="Y28" s="1">
        <v>0</v>
      </c>
      <c r="Z28" s="1">
        <f>COUNTIFS(F:F,F28,G:G,G28,E:E,E28,D:D,D28,C:C,C28,H:H,H28,A:A,A28,I:I,I28)</f>
        <v>1</v>
      </c>
    </row>
    <row r="29" spans="1:26" ht="15.75" customHeight="1" x14ac:dyDescent="0.15">
      <c r="A29" s="5">
        <v>46261</v>
      </c>
      <c r="B29" s="1" t="s">
        <v>11</v>
      </c>
      <c r="C29" s="1" t="s">
        <v>40</v>
      </c>
      <c r="D29" s="1" t="s">
        <v>12</v>
      </c>
      <c r="E29" s="1" t="s">
        <v>13</v>
      </c>
      <c r="F29" s="1" t="s">
        <v>14</v>
      </c>
      <c r="G29" s="1" t="s">
        <v>15</v>
      </c>
      <c r="H29" s="1" t="s">
        <v>16</v>
      </c>
      <c r="I29" s="2" t="s">
        <v>24</v>
      </c>
      <c r="J29" s="2">
        <f>SUM(K29:Y29)</f>
        <v>100</v>
      </c>
      <c r="K29" s="1">
        <v>0</v>
      </c>
      <c r="L29" s="1">
        <v>0</v>
      </c>
      <c r="M29" s="1">
        <v>0</v>
      </c>
      <c r="N29" s="1">
        <v>0</v>
      </c>
      <c r="O29" s="1">
        <v>45</v>
      </c>
      <c r="P29" s="1">
        <v>0</v>
      </c>
      <c r="Q29" s="1">
        <v>25</v>
      </c>
      <c r="R29" s="1">
        <v>0</v>
      </c>
      <c r="S29" s="1">
        <v>30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f>COUNTIFS(F:F,F29,G:G,G29,E:E,E29,D:D,D29,C:C,C29,H:H,H29,A:A,A29,I:I,I29)</f>
        <v>1</v>
      </c>
    </row>
    <row r="30" spans="1:26" ht="15.75" customHeight="1" x14ac:dyDescent="0.15">
      <c r="A30" s="5">
        <v>46261</v>
      </c>
      <c r="B30" s="1" t="s">
        <v>11</v>
      </c>
      <c r="C30" s="1" t="s">
        <v>40</v>
      </c>
      <c r="D30" s="1" t="s">
        <v>12</v>
      </c>
      <c r="E30" s="1" t="s">
        <v>13</v>
      </c>
      <c r="F30" s="1" t="s">
        <v>14</v>
      </c>
      <c r="G30" s="1" t="s">
        <v>22</v>
      </c>
      <c r="H30" s="1" t="s">
        <v>16</v>
      </c>
      <c r="I30" s="2" t="s">
        <v>24</v>
      </c>
      <c r="J30" s="2">
        <f>SUM(K30:Y30)</f>
        <v>100</v>
      </c>
      <c r="K30" s="1">
        <v>0</v>
      </c>
      <c r="L30" s="1">
        <v>0</v>
      </c>
      <c r="M30" s="1">
        <v>0</v>
      </c>
      <c r="N30" s="1">
        <v>0</v>
      </c>
      <c r="O30" s="1">
        <v>45</v>
      </c>
      <c r="P30" s="1">
        <v>0</v>
      </c>
      <c r="Q30" s="1">
        <v>25</v>
      </c>
      <c r="R30" s="1">
        <v>0</v>
      </c>
      <c r="S30" s="1">
        <v>30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f>COUNTIFS(F:F,F30,G:G,G30,E:E,E30,D:D,D30,C:C,C30,H:H,H30,A:A,A30,I:I,I30)</f>
        <v>1</v>
      </c>
    </row>
    <row r="31" spans="1:26" ht="15.75" customHeight="1" x14ac:dyDescent="0.15">
      <c r="A31" s="5">
        <v>46261</v>
      </c>
      <c r="B31" s="1" t="s">
        <v>11</v>
      </c>
      <c r="C31" s="1" t="s">
        <v>40</v>
      </c>
      <c r="D31" s="1" t="s">
        <v>12</v>
      </c>
      <c r="E31" s="1" t="s">
        <v>13</v>
      </c>
      <c r="F31" s="1" t="s">
        <v>14</v>
      </c>
      <c r="G31" s="1" t="s">
        <v>23</v>
      </c>
      <c r="H31" s="1" t="s">
        <v>16</v>
      </c>
      <c r="I31" s="2" t="s">
        <v>24</v>
      </c>
      <c r="J31" s="2">
        <f>SUM(K31:Y31)</f>
        <v>100</v>
      </c>
      <c r="K31" s="1">
        <v>0</v>
      </c>
      <c r="L31" s="1">
        <v>0</v>
      </c>
      <c r="M31" s="1">
        <v>0</v>
      </c>
      <c r="N31" s="1">
        <v>0</v>
      </c>
      <c r="O31" s="1">
        <v>45</v>
      </c>
      <c r="P31" s="1">
        <v>0</v>
      </c>
      <c r="Q31" s="1">
        <v>25</v>
      </c>
      <c r="R31" s="1">
        <v>0</v>
      </c>
      <c r="S31" s="1">
        <v>30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f>COUNTIFS(F:F,F31,G:G,G31,E:E,E31,D:D,D31,C:C,C31,H:H,H31,A:A,A31,I:I,I31)</f>
        <v>1</v>
      </c>
    </row>
  </sheetData>
  <autoFilter ref="A1:BB31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mid_split_Upgrades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Benjamin Cook</cp:lastModifiedBy>
  <dcterms:modified xsi:type="dcterms:W3CDTF">2026-08-26T09:20:09Z</dcterms:modified>
</cp:coreProperties>
</file>
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Initial" sheetId="1" r:id="rId5"/>
  </sheets>
  <definedNames>
    <definedName hidden="1" localSheetId="0" name="_xlnm._FilterDatabase">'mid_split_Monthly Initial'!$A$1:$AR$31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<sst xmlns="http://schemas.openxmlformats.org/spreadsheetml/2006/main" count="284" uniqueCount="59">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</sst>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1.1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3">
        <v>46202.0</v>
      </c>
      <c r="B2" s="4" t="s">
        <v>44</v>
      </c>
      <c r="C2" s="4" t="s">
        <v>45</v>
      </c>
      <c r="D2" s="5" t="s">
        <v>46</v>
      </c>
      <c r="E2" s="4" t="s">
        <v>47</v>
      </c>
      <c r="F2" s="4" t="s">
        <v>48</v>
      </c>
      <c r="G2" s="5" t="s">
        <v>49</v>
      </c>
      <c r="H2" s="4" t="s">
        <v>50</v>
      </c>
      <c r="I2" s="6" t="s">
        <v>51</v>
      </c>
      <c r="J2" s="7">
        <f t="shared" ref="J2:J31" si="1">sum(K2:AQ2)</f>
        <v>100</v>
      </c>
      <c r="K2" s="8">
        <v>10.0</v>
      </c>
      <c r="L2" s="8">
        <v>15.0</v>
      </c>
      <c r="M2" s="8">
        <v>0.0</v>
      </c>
      <c r="N2" s="8">
        <v>15.0</v>
      </c>
      <c r="O2" s="8">
        <v>15.0</v>
      </c>
      <c r="P2" s="8">
        <v>0.0</v>
      </c>
      <c r="Q2" s="8">
        <v>0.0</v>
      </c>
      <c r="R2" s="8">
        <v>0.0</v>
      </c>
      <c r="S2" s="8">
        <v>1.0</v>
      </c>
      <c r="T2" s="9">
        <v>14.0</v>
      </c>
      <c r="U2" s="8">
        <v>10.0</v>
      </c>
      <c r="V2" s="8">
        <v>0.0</v>
      </c>
      <c r="W2" s="8">
        <v>10.0</v>
      </c>
      <c r="X2" s="8">
        <v>0.0</v>
      </c>
      <c r="Y2" s="8">
        <v>10.0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f t="shared" ref="AR2:AR31" si="2">COUNTIFS(F:F,F2,G:G,G2,E:E,E2,D:D,D2,C:C,C2,H:H,H2,A:A,A2,I:I,I2)</f>
        <v>1</v>
      </c>
    </row>
    <row r="3">
      <c r="A3" s="3">
        <v>46202.0</v>
      </c>
      <c r="B3" s="4" t="s">
        <v>44</v>
      </c>
      <c r="C3" s="4" t="s">
        <v>45</v>
      </c>
      <c r="D3" s="5" t="s">
        <v>46</v>
      </c>
      <c r="E3" s="4" t="s">
        <v>52</v>
      </c>
      <c r="F3" s="4" t="s">
        <v>48</v>
      </c>
      <c r="G3" s="5" t="s">
        <v>49</v>
      </c>
      <c r="H3" s="4" t="s">
        <v>50</v>
      </c>
      <c r="I3" s="6" t="s">
        <v>51</v>
      </c>
      <c r="J3" s="7">
        <f t="shared" si="1"/>
        <v>100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15.0</v>
      </c>
      <c r="AA3" s="8">
        <v>20.0</v>
      </c>
      <c r="AB3" s="8">
        <v>20.0</v>
      </c>
      <c r="AC3" s="8">
        <v>15.0</v>
      </c>
      <c r="AD3" s="8">
        <v>15.0</v>
      </c>
      <c r="AE3" s="8">
        <v>15.0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f t="shared" si="2"/>
        <v>1</v>
      </c>
    </row>
    <row r="4">
      <c r="A4" s="3">
        <v>46202.0</v>
      </c>
      <c r="B4" s="4" t="s">
        <v>44</v>
      </c>
      <c r="C4" s="4" t="s">
        <v>45</v>
      </c>
      <c r="D4" s="5" t="s">
        <v>46</v>
      </c>
      <c r="E4" s="4" t="s">
        <v>53</v>
      </c>
      <c r="F4" s="4" t="s">
        <v>48</v>
      </c>
      <c r="G4" s="5" t="s">
        <v>49</v>
      </c>
      <c r="H4" s="4" t="s">
        <v>50</v>
      </c>
      <c r="I4" s="6" t="s">
        <v>51</v>
      </c>
      <c r="J4" s="7">
        <f t="shared" si="1"/>
        <v>100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30.0</v>
      </c>
      <c r="AG4" s="8">
        <v>25.0</v>
      </c>
      <c r="AH4" s="8">
        <v>25.0</v>
      </c>
      <c r="AI4" s="8">
        <v>20.0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f t="shared" si="2"/>
        <v>1</v>
      </c>
    </row>
    <row r="5">
      <c r="A5" s="3">
        <v>46202.0</v>
      </c>
      <c r="B5" s="4" t="s">
        <v>44</v>
      </c>
      <c r="C5" s="4" t="s">
        <v>45</v>
      </c>
      <c r="D5" s="5" t="s">
        <v>46</v>
      </c>
      <c r="E5" s="4" t="s">
        <v>54</v>
      </c>
      <c r="F5" s="4" t="s">
        <v>48</v>
      </c>
      <c r="G5" s="5" t="s">
        <v>49</v>
      </c>
      <c r="H5" s="4" t="s">
        <v>50</v>
      </c>
      <c r="I5" s="6" t="s">
        <v>51</v>
      </c>
      <c r="J5" s="7">
        <f t="shared" si="1"/>
        <v>100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25.0</v>
      </c>
      <c r="AK5" s="8">
        <v>25.0</v>
      </c>
      <c r="AL5" s="8">
        <v>25.0</v>
      </c>
      <c r="AM5" s="8">
        <v>25.0</v>
      </c>
      <c r="AN5" s="8">
        <v>0.0</v>
      </c>
      <c r="AO5" s="8">
        <v>0.0</v>
      </c>
      <c r="AP5" s="8">
        <v>0.0</v>
      </c>
      <c r="AQ5" s="8">
        <v>0.0</v>
      </c>
      <c r="AR5" s="8">
        <f t="shared" si="2"/>
        <v>1</v>
      </c>
    </row>
    <row r="6">
      <c r="A6" s="3">
        <v>46202.0</v>
      </c>
      <c r="B6" s="4" t="s">
        <v>44</v>
      </c>
      <c r="C6" s="4" t="s">
        <v>45</v>
      </c>
      <c r="D6" s="5" t="s">
        <v>46</v>
      </c>
      <c r="E6" s="4" t="s">
        <v>55</v>
      </c>
      <c r="F6" s="4" t="s">
        <v>48</v>
      </c>
      <c r="G6" s="5" t="s">
        <v>49</v>
      </c>
      <c r="H6" s="4" t="s">
        <v>50</v>
      </c>
      <c r="I6" s="6" t="s">
        <v>51</v>
      </c>
      <c r="J6" s="7">
        <f t="shared" si="1"/>
        <v>100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25.0</v>
      </c>
      <c r="AO6" s="8">
        <v>25.0</v>
      </c>
      <c r="AP6" s="8">
        <v>25.0</v>
      </c>
      <c r="AQ6" s="8">
        <v>25.0</v>
      </c>
      <c r="AR6" s="8">
        <f t="shared" si="2"/>
        <v>1</v>
      </c>
    </row>
    <row r="7">
      <c r="A7" s="3">
        <v>46202.0</v>
      </c>
      <c r="B7" s="4" t="s">
        <v>44</v>
      </c>
      <c r="C7" s="4" t="s">
        <v>45</v>
      </c>
      <c r="D7" s="5" t="s">
        <v>46</v>
      </c>
      <c r="E7" s="4" t="s">
        <v>47</v>
      </c>
      <c r="F7" s="4" t="s">
        <v>48</v>
      </c>
      <c r="G7" s="5" t="s">
        <v>56</v>
      </c>
      <c r="H7" s="4" t="s">
        <v>50</v>
      </c>
      <c r="I7" s="6" t="s">
        <v>51</v>
      </c>
      <c r="J7" s="7">
        <f t="shared" si="1"/>
        <v>100</v>
      </c>
      <c r="K7" s="8">
        <v>10.0</v>
      </c>
      <c r="L7" s="8">
        <v>15.0</v>
      </c>
      <c r="M7" s="8">
        <v>0.0</v>
      </c>
      <c r="N7" s="8">
        <v>15.0</v>
      </c>
      <c r="O7" s="8">
        <v>15.0</v>
      </c>
      <c r="P7" s="8">
        <v>0.0</v>
      </c>
      <c r="Q7" s="8">
        <v>0.0</v>
      </c>
      <c r="R7" s="8">
        <v>0.0</v>
      </c>
      <c r="S7" s="9">
        <v>0.0</v>
      </c>
      <c r="T7" s="9">
        <v>15.0</v>
      </c>
      <c r="U7" s="8">
        <v>10.0</v>
      </c>
      <c r="V7" s="8">
        <v>0.0</v>
      </c>
      <c r="W7" s="8">
        <v>10.0</v>
      </c>
      <c r="X7" s="8">
        <v>0.0</v>
      </c>
      <c r="Y7" s="8">
        <v>10.0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f t="shared" si="2"/>
        <v>1</v>
      </c>
    </row>
    <row r="8">
      <c r="A8" s="3">
        <v>46202.0</v>
      </c>
      <c r="B8" s="4" t="s">
        <v>44</v>
      </c>
      <c r="C8" s="4" t="s">
        <v>45</v>
      </c>
      <c r="D8" s="5" t="s">
        <v>46</v>
      </c>
      <c r="E8" s="4" t="s">
        <v>52</v>
      </c>
      <c r="F8" s="4" t="s">
        <v>48</v>
      </c>
      <c r="G8" s="5" t="s">
        <v>56</v>
      </c>
      <c r="H8" s="4" t="s">
        <v>50</v>
      </c>
      <c r="I8" s="6" t="s">
        <v>51</v>
      </c>
      <c r="J8" s="7">
        <f t="shared" si="1"/>
        <v>100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9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15.0</v>
      </c>
      <c r="AA8" s="8">
        <v>20.0</v>
      </c>
      <c r="AB8" s="8">
        <v>20.0</v>
      </c>
      <c r="AC8" s="8">
        <v>15.0</v>
      </c>
      <c r="AD8" s="8">
        <v>15.0</v>
      </c>
      <c r="AE8" s="8">
        <v>15.0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f t="shared" si="2"/>
        <v>1</v>
      </c>
    </row>
    <row r="9">
      <c r="A9" s="3">
        <v>46202.0</v>
      </c>
      <c r="B9" s="4" t="s">
        <v>44</v>
      </c>
      <c r="C9" s="4" t="s">
        <v>45</v>
      </c>
      <c r="D9" s="5" t="s">
        <v>46</v>
      </c>
      <c r="E9" s="4" t="s">
        <v>53</v>
      </c>
      <c r="F9" s="4" t="s">
        <v>48</v>
      </c>
      <c r="G9" s="5" t="s">
        <v>56</v>
      </c>
      <c r="H9" s="4" t="s">
        <v>50</v>
      </c>
      <c r="I9" s="6" t="s">
        <v>51</v>
      </c>
      <c r="J9" s="7">
        <f t="shared" si="1"/>
        <v>100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9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30.0</v>
      </c>
      <c r="AG9" s="8">
        <v>25.0</v>
      </c>
      <c r="AH9" s="8">
        <v>25.0</v>
      </c>
      <c r="AI9" s="8">
        <v>20.0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f t="shared" si="2"/>
        <v>1</v>
      </c>
    </row>
    <row r="10">
      <c r="A10" s="3">
        <v>46202.0</v>
      </c>
      <c r="B10" s="4" t="s">
        <v>44</v>
      </c>
      <c r="C10" s="4" t="s">
        <v>45</v>
      </c>
      <c r="D10" s="5" t="s">
        <v>46</v>
      </c>
      <c r="E10" s="4" t="s">
        <v>54</v>
      </c>
      <c r="F10" s="4" t="s">
        <v>48</v>
      </c>
      <c r="G10" s="5" t="s">
        <v>56</v>
      </c>
      <c r="H10" s="4" t="s">
        <v>50</v>
      </c>
      <c r="I10" s="6" t="s">
        <v>51</v>
      </c>
      <c r="J10" s="7">
        <f t="shared" si="1"/>
        <v>100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9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25.0</v>
      </c>
      <c r="AK10" s="8">
        <v>25.0</v>
      </c>
      <c r="AL10" s="8">
        <v>25.0</v>
      </c>
      <c r="AM10" s="8">
        <v>25.0</v>
      </c>
      <c r="AN10" s="8">
        <v>0.0</v>
      </c>
      <c r="AO10" s="8">
        <v>0.0</v>
      </c>
      <c r="AP10" s="8">
        <v>0.0</v>
      </c>
      <c r="AQ10" s="8">
        <v>0.0</v>
      </c>
      <c r="AR10" s="8">
        <f t="shared" si="2"/>
        <v>1</v>
      </c>
    </row>
    <row r="11">
      <c r="A11" s="3">
        <v>46202.0</v>
      </c>
      <c r="B11" s="4" t="s">
        <v>44</v>
      </c>
      <c r="C11" s="4" t="s">
        <v>45</v>
      </c>
      <c r="D11" s="5" t="s">
        <v>46</v>
      </c>
      <c r="E11" s="4" t="s">
        <v>55</v>
      </c>
      <c r="F11" s="4" t="s">
        <v>48</v>
      </c>
      <c r="G11" s="5" t="s">
        <v>56</v>
      </c>
      <c r="H11" s="4" t="s">
        <v>50</v>
      </c>
      <c r="I11" s="6" t="s">
        <v>51</v>
      </c>
      <c r="J11" s="7">
        <f t="shared" si="1"/>
        <v>100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9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25.0</v>
      </c>
      <c r="AO11" s="8">
        <v>25.0</v>
      </c>
      <c r="AP11" s="8">
        <v>25.0</v>
      </c>
      <c r="AQ11" s="8">
        <v>25.0</v>
      </c>
      <c r="AR11" s="8">
        <f t="shared" si="2"/>
        <v>1</v>
      </c>
    </row>
    <row r="12">
      <c r="A12" s="3">
        <v>46202.0</v>
      </c>
      <c r="B12" s="4" t="s">
        <v>44</v>
      </c>
      <c r="C12" s="4" t="s">
        <v>45</v>
      </c>
      <c r="D12" s="5" t="s">
        <v>46</v>
      </c>
      <c r="E12" s="4" t="s">
        <v>47</v>
      </c>
      <c r="F12" s="4" t="s">
        <v>48</v>
      </c>
      <c r="G12" s="5" t="s">
        <v>57</v>
      </c>
      <c r="H12" s="4" t="s">
        <v>50</v>
      </c>
      <c r="I12" s="6" t="s">
        <v>51</v>
      </c>
      <c r="J12" s="7">
        <f t="shared" si="1"/>
        <v>100</v>
      </c>
      <c r="K12" s="8">
        <v>10.0</v>
      </c>
      <c r="L12" s="8">
        <v>15.0</v>
      </c>
      <c r="M12" s="8">
        <v>0.0</v>
      </c>
      <c r="N12" s="8">
        <v>15.0</v>
      </c>
      <c r="O12" s="8">
        <v>15.0</v>
      </c>
      <c r="P12" s="8">
        <v>0.0</v>
      </c>
      <c r="Q12" s="8">
        <v>0.0</v>
      </c>
      <c r="R12" s="8">
        <v>0.0</v>
      </c>
      <c r="S12" s="9">
        <v>0.0</v>
      </c>
      <c r="T12" s="9">
        <v>15.0</v>
      </c>
      <c r="U12" s="8">
        <v>10.0</v>
      </c>
      <c r="V12" s="8">
        <v>0.0</v>
      </c>
      <c r="W12" s="8">
        <v>10.0</v>
      </c>
      <c r="X12" s="8">
        <v>0.0</v>
      </c>
      <c r="Y12" s="8">
        <v>10.0</v>
      </c>
      <c r="Z12" s="8">
        <v>0.0</v>
      </c>
      <c r="AA12" s="8">
        <v>0.0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f t="shared" si="2"/>
        <v>1</v>
      </c>
    </row>
    <row r="13">
      <c r="A13" s="3">
        <v>46202.0</v>
      </c>
      <c r="B13" s="4" t="s">
        <v>44</v>
      </c>
      <c r="C13" s="4" t="s">
        <v>45</v>
      </c>
      <c r="D13" s="5" t="s">
        <v>46</v>
      </c>
      <c r="E13" s="4" t="s">
        <v>52</v>
      </c>
      <c r="F13" s="4" t="s">
        <v>48</v>
      </c>
      <c r="G13" s="5" t="s">
        <v>57</v>
      </c>
      <c r="H13" s="4" t="s">
        <v>50</v>
      </c>
      <c r="I13" s="6" t="s">
        <v>51</v>
      </c>
      <c r="J13" s="7">
        <f t="shared" si="1"/>
        <v>100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9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15.0</v>
      </c>
      <c r="AA13" s="8">
        <v>20.0</v>
      </c>
      <c r="AB13" s="8">
        <v>20.0</v>
      </c>
      <c r="AC13" s="8">
        <v>15.0</v>
      </c>
      <c r="AD13" s="8">
        <v>15.0</v>
      </c>
      <c r="AE13" s="8">
        <v>15.0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f t="shared" si="2"/>
        <v>1</v>
      </c>
    </row>
    <row r="14">
      <c r="A14" s="3">
        <v>46202.0</v>
      </c>
      <c r="B14" s="4" t="s">
        <v>44</v>
      </c>
      <c r="C14" s="4" t="s">
        <v>45</v>
      </c>
      <c r="D14" s="5" t="s">
        <v>46</v>
      </c>
      <c r="E14" s="4" t="s">
        <v>53</v>
      </c>
      <c r="F14" s="4" t="s">
        <v>48</v>
      </c>
      <c r="G14" s="5" t="s">
        <v>57</v>
      </c>
      <c r="H14" s="4" t="s">
        <v>50</v>
      </c>
      <c r="I14" s="6" t="s">
        <v>51</v>
      </c>
      <c r="J14" s="7">
        <f t="shared" si="1"/>
        <v>100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9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30.0</v>
      </c>
      <c r="AG14" s="8">
        <v>25.0</v>
      </c>
      <c r="AH14" s="8">
        <v>25.0</v>
      </c>
      <c r="AI14" s="8">
        <v>20.0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f t="shared" si="2"/>
        <v>1</v>
      </c>
    </row>
    <row r="15">
      <c r="A15" s="3">
        <v>46202.0</v>
      </c>
      <c r="B15" s="4" t="s">
        <v>44</v>
      </c>
      <c r="C15" s="4" t="s">
        <v>45</v>
      </c>
      <c r="D15" s="5" t="s">
        <v>46</v>
      </c>
      <c r="E15" s="4" t="s">
        <v>54</v>
      </c>
      <c r="F15" s="4" t="s">
        <v>48</v>
      </c>
      <c r="G15" s="5" t="s">
        <v>57</v>
      </c>
      <c r="H15" s="4" t="s">
        <v>50</v>
      </c>
      <c r="I15" s="6" t="s">
        <v>51</v>
      </c>
      <c r="J15" s="7">
        <f t="shared" si="1"/>
        <v>100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9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25.0</v>
      </c>
      <c r="AK15" s="8">
        <v>25.0</v>
      </c>
      <c r="AL15" s="8">
        <v>25.0</v>
      </c>
      <c r="AM15" s="8">
        <v>25.0</v>
      </c>
      <c r="AN15" s="8">
        <v>0.0</v>
      </c>
      <c r="AO15" s="8">
        <v>0.0</v>
      </c>
      <c r="AP15" s="8">
        <v>0.0</v>
      </c>
      <c r="AQ15" s="8">
        <v>0.0</v>
      </c>
      <c r="AR15" s="8">
        <f t="shared" si="2"/>
        <v>1</v>
      </c>
    </row>
    <row r="16">
      <c r="A16" s="3">
        <v>46202.0</v>
      </c>
      <c r="B16" s="4" t="s">
        <v>44</v>
      </c>
      <c r="C16" s="4" t="s">
        <v>45</v>
      </c>
      <c r="D16" s="5" t="s">
        <v>46</v>
      </c>
      <c r="E16" s="4" t="s">
        <v>55</v>
      </c>
      <c r="F16" s="4" t="s">
        <v>48</v>
      </c>
      <c r="G16" s="5" t="s">
        <v>57</v>
      </c>
      <c r="H16" s="4" t="s">
        <v>50</v>
      </c>
      <c r="I16" s="6" t="s">
        <v>51</v>
      </c>
      <c r="J16" s="7">
        <f t="shared" si="1"/>
        <v>100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9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25.0</v>
      </c>
      <c r="AO16" s="8">
        <v>25.0</v>
      </c>
      <c r="AP16" s="8">
        <v>25.0</v>
      </c>
      <c r="AQ16" s="8">
        <v>25.0</v>
      </c>
      <c r="AR16" s="8">
        <f t="shared" si="2"/>
        <v>1</v>
      </c>
    </row>
    <row r="17">
      <c r="A17" s="3">
        <v>46202.0</v>
      </c>
      <c r="B17" s="4" t="s">
        <v>44</v>
      </c>
      <c r="C17" s="4" t="s">
        <v>45</v>
      </c>
      <c r="D17" s="5" t="s">
        <v>46</v>
      </c>
      <c r="E17" s="4" t="s">
        <v>47</v>
      </c>
      <c r="F17" s="4" t="s">
        <v>48</v>
      </c>
      <c r="G17" s="5" t="s">
        <v>49</v>
      </c>
      <c r="H17" s="4" t="s">
        <v>50</v>
      </c>
      <c r="I17" s="6" t="s">
        <v>58</v>
      </c>
      <c r="J17" s="7">
        <f t="shared" si="1"/>
        <v>100</v>
      </c>
      <c r="K17" s="8">
        <v>10.0</v>
      </c>
      <c r="L17" s="8">
        <v>15.0</v>
      </c>
      <c r="M17" s="8">
        <v>0.0</v>
      </c>
      <c r="N17" s="8">
        <v>15.0</v>
      </c>
      <c r="O17" s="8">
        <v>15.0</v>
      </c>
      <c r="P17" s="8">
        <v>0.0</v>
      </c>
      <c r="Q17" s="8">
        <v>0.0</v>
      </c>
      <c r="R17" s="8">
        <v>0.0</v>
      </c>
      <c r="S17" s="8">
        <v>1.0</v>
      </c>
      <c r="T17" s="9">
        <v>14.0</v>
      </c>
      <c r="U17" s="8">
        <v>10.0</v>
      </c>
      <c r="V17" s="8">
        <v>0.0</v>
      </c>
      <c r="W17" s="8">
        <v>10.0</v>
      </c>
      <c r="X17" s="8">
        <v>0.0</v>
      </c>
      <c r="Y17" s="8">
        <v>10.0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0.0</v>
      </c>
      <c r="AM17" s="8">
        <v>0.0</v>
      </c>
      <c r="AN17" s="8">
        <v>0.0</v>
      </c>
      <c r="AO17" s="8">
        <v>0.0</v>
      </c>
      <c r="AP17" s="8">
        <v>0.0</v>
      </c>
      <c r="AQ17" s="8">
        <v>0.0</v>
      </c>
      <c r="AR17" s="8">
        <f t="shared" si="2"/>
        <v>1</v>
      </c>
    </row>
    <row r="18">
      <c r="A18" s="3">
        <v>46202.0</v>
      </c>
      <c r="B18" s="4" t="s">
        <v>44</v>
      </c>
      <c r="C18" s="4" t="s">
        <v>45</v>
      </c>
      <c r="D18" s="5" t="s">
        <v>46</v>
      </c>
      <c r="E18" s="4" t="s">
        <v>52</v>
      </c>
      <c r="F18" s="4" t="s">
        <v>48</v>
      </c>
      <c r="G18" s="5" t="s">
        <v>49</v>
      </c>
      <c r="H18" s="4" t="s">
        <v>50</v>
      </c>
      <c r="I18" s="6" t="s">
        <v>58</v>
      </c>
      <c r="J18" s="7">
        <f t="shared" si="1"/>
        <v>100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15.0</v>
      </c>
      <c r="AA18" s="8">
        <v>20.0</v>
      </c>
      <c r="AB18" s="8">
        <v>20.0</v>
      </c>
      <c r="AC18" s="8">
        <v>15.0</v>
      </c>
      <c r="AD18" s="8">
        <v>15.0</v>
      </c>
      <c r="AE18" s="8">
        <v>15.0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f t="shared" si="2"/>
        <v>1</v>
      </c>
    </row>
    <row r="19">
      <c r="A19" s="3">
        <v>46202.0</v>
      </c>
      <c r="B19" s="4" t="s">
        <v>44</v>
      </c>
      <c r="C19" s="4" t="s">
        <v>45</v>
      </c>
      <c r="D19" s="5" t="s">
        <v>46</v>
      </c>
      <c r="E19" s="4" t="s">
        <v>53</v>
      </c>
      <c r="F19" s="4" t="s">
        <v>48</v>
      </c>
      <c r="G19" s="5" t="s">
        <v>49</v>
      </c>
      <c r="H19" s="4" t="s">
        <v>50</v>
      </c>
      <c r="I19" s="6" t="s">
        <v>58</v>
      </c>
      <c r="J19" s="7">
        <f t="shared" si="1"/>
        <v>100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30.0</v>
      </c>
      <c r="AG19" s="8">
        <v>25.0</v>
      </c>
      <c r="AH19" s="8">
        <v>25.0</v>
      </c>
      <c r="AI19" s="8">
        <v>20.0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f t="shared" si="2"/>
        <v>1</v>
      </c>
    </row>
    <row r="20">
      <c r="A20" s="3">
        <v>46202.0</v>
      </c>
      <c r="B20" s="4" t="s">
        <v>44</v>
      </c>
      <c r="C20" s="4" t="s">
        <v>45</v>
      </c>
      <c r="D20" s="5" t="s">
        <v>46</v>
      </c>
      <c r="E20" s="4" t="s">
        <v>54</v>
      </c>
      <c r="F20" s="4" t="s">
        <v>48</v>
      </c>
      <c r="G20" s="5" t="s">
        <v>49</v>
      </c>
      <c r="H20" s="4" t="s">
        <v>50</v>
      </c>
      <c r="I20" s="6" t="s">
        <v>58</v>
      </c>
      <c r="J20" s="7">
        <f t="shared" si="1"/>
        <v>100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25.0</v>
      </c>
      <c r="AK20" s="8">
        <v>25.0</v>
      </c>
      <c r="AL20" s="8">
        <v>25.0</v>
      </c>
      <c r="AM20" s="8">
        <v>25.0</v>
      </c>
      <c r="AN20" s="8">
        <v>0.0</v>
      </c>
      <c r="AO20" s="8">
        <v>0.0</v>
      </c>
      <c r="AP20" s="8">
        <v>0.0</v>
      </c>
      <c r="AQ20" s="8">
        <v>0.0</v>
      </c>
      <c r="AR20" s="8">
        <f t="shared" si="2"/>
        <v>1</v>
      </c>
    </row>
    <row r="21">
      <c r="A21" s="3">
        <v>46202.0</v>
      </c>
      <c r="B21" s="4" t="s">
        <v>44</v>
      </c>
      <c r="C21" s="4" t="s">
        <v>45</v>
      </c>
      <c r="D21" s="5" t="s">
        <v>46</v>
      </c>
      <c r="E21" s="4" t="s">
        <v>55</v>
      </c>
      <c r="F21" s="4" t="s">
        <v>48</v>
      </c>
      <c r="G21" s="5" t="s">
        <v>49</v>
      </c>
      <c r="H21" s="4" t="s">
        <v>50</v>
      </c>
      <c r="I21" s="6" t="s">
        <v>58</v>
      </c>
      <c r="J21" s="7">
        <f t="shared" si="1"/>
        <v>100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25.0</v>
      </c>
      <c r="AO21" s="8">
        <v>25.0</v>
      </c>
      <c r="AP21" s="8">
        <v>25.0</v>
      </c>
      <c r="AQ21" s="8">
        <v>25.0</v>
      </c>
      <c r="AR21" s="8">
        <f t="shared" si="2"/>
        <v>1</v>
      </c>
    </row>
    <row r="22">
      <c r="A22" s="3">
        <v>46202.0</v>
      </c>
      <c r="B22" s="4" t="s">
        <v>44</v>
      </c>
      <c r="C22" s="4" t="s">
        <v>45</v>
      </c>
      <c r="D22" s="5" t="s">
        <v>46</v>
      </c>
      <c r="E22" s="4" t="s">
        <v>47</v>
      </c>
      <c r="F22" s="4" t="s">
        <v>48</v>
      </c>
      <c r="G22" s="5" t="s">
        <v>56</v>
      </c>
      <c r="H22" s="4" t="s">
        <v>50</v>
      </c>
      <c r="I22" s="6" t="s">
        <v>58</v>
      </c>
      <c r="J22" s="7">
        <f t="shared" si="1"/>
        <v>100</v>
      </c>
      <c r="K22" s="8">
        <v>10.0</v>
      </c>
      <c r="L22" s="8">
        <v>15.0</v>
      </c>
      <c r="M22" s="8">
        <v>0.0</v>
      </c>
      <c r="N22" s="8">
        <v>15.0</v>
      </c>
      <c r="O22" s="8">
        <v>15.0</v>
      </c>
      <c r="P22" s="8">
        <v>0.0</v>
      </c>
      <c r="Q22" s="8">
        <v>0.0</v>
      </c>
      <c r="R22" s="8">
        <v>0.0</v>
      </c>
      <c r="S22" s="9">
        <v>0.0</v>
      </c>
      <c r="T22" s="9">
        <v>15.0</v>
      </c>
      <c r="U22" s="8">
        <v>10.0</v>
      </c>
      <c r="V22" s="8">
        <v>0.0</v>
      </c>
      <c r="W22" s="8">
        <v>10.0</v>
      </c>
      <c r="X22" s="8">
        <v>0.0</v>
      </c>
      <c r="Y22" s="8">
        <v>10.0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f t="shared" si="2"/>
        <v>1</v>
      </c>
    </row>
    <row r="23">
      <c r="A23" s="3">
        <v>46202.0</v>
      </c>
      <c r="B23" s="4" t="s">
        <v>44</v>
      </c>
      <c r="C23" s="4" t="s">
        <v>45</v>
      </c>
      <c r="D23" s="5" t="s">
        <v>46</v>
      </c>
      <c r="E23" s="4" t="s">
        <v>52</v>
      </c>
      <c r="F23" s="4" t="s">
        <v>48</v>
      </c>
      <c r="G23" s="5" t="s">
        <v>56</v>
      </c>
      <c r="H23" s="4" t="s">
        <v>50</v>
      </c>
      <c r="I23" s="6" t="s">
        <v>58</v>
      </c>
      <c r="J23" s="7">
        <f t="shared" si="1"/>
        <v>100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9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15.0</v>
      </c>
      <c r="AA23" s="8">
        <v>20.0</v>
      </c>
      <c r="AB23" s="8">
        <v>20.0</v>
      </c>
      <c r="AC23" s="8">
        <v>15.0</v>
      </c>
      <c r="AD23" s="8">
        <v>15.0</v>
      </c>
      <c r="AE23" s="8">
        <v>15.0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f t="shared" si="2"/>
        <v>1</v>
      </c>
    </row>
    <row r="24">
      <c r="A24" s="3">
        <v>46202.0</v>
      </c>
      <c r="B24" s="4" t="s">
        <v>44</v>
      </c>
      <c r="C24" s="4" t="s">
        <v>45</v>
      </c>
      <c r="D24" s="5" t="s">
        <v>46</v>
      </c>
      <c r="E24" s="4" t="s">
        <v>53</v>
      </c>
      <c r="F24" s="4" t="s">
        <v>48</v>
      </c>
      <c r="G24" s="5" t="s">
        <v>56</v>
      </c>
      <c r="H24" s="4" t="s">
        <v>50</v>
      </c>
      <c r="I24" s="6" t="s">
        <v>58</v>
      </c>
      <c r="J24" s="7">
        <f t="shared" si="1"/>
        <v>100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9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30.0</v>
      </c>
      <c r="AG24" s="8">
        <v>25.0</v>
      </c>
      <c r="AH24" s="8">
        <v>25.0</v>
      </c>
      <c r="AI24" s="8">
        <v>20.0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f t="shared" si="2"/>
        <v>1</v>
      </c>
    </row>
    <row r="25">
      <c r="A25" s="3">
        <v>46202.0</v>
      </c>
      <c r="B25" s="4" t="s">
        <v>44</v>
      </c>
      <c r="C25" s="4" t="s">
        <v>45</v>
      </c>
      <c r="D25" s="5" t="s">
        <v>46</v>
      </c>
      <c r="E25" s="4" t="s">
        <v>54</v>
      </c>
      <c r="F25" s="4" t="s">
        <v>48</v>
      </c>
      <c r="G25" s="5" t="s">
        <v>56</v>
      </c>
      <c r="H25" s="4" t="s">
        <v>50</v>
      </c>
      <c r="I25" s="6" t="s">
        <v>58</v>
      </c>
      <c r="J25" s="7">
        <f t="shared" si="1"/>
        <v>100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9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25.0</v>
      </c>
      <c r="AK25" s="8">
        <v>25.0</v>
      </c>
      <c r="AL25" s="8">
        <v>25.0</v>
      </c>
      <c r="AM25" s="8">
        <v>25.0</v>
      </c>
      <c r="AN25" s="8">
        <v>0.0</v>
      </c>
      <c r="AO25" s="8">
        <v>0.0</v>
      </c>
      <c r="AP25" s="8">
        <v>0.0</v>
      </c>
      <c r="AQ25" s="8">
        <v>0.0</v>
      </c>
      <c r="AR25" s="8">
        <f t="shared" si="2"/>
        <v>1</v>
      </c>
    </row>
    <row r="26">
      <c r="A26" s="3">
        <v>46202.0</v>
      </c>
      <c r="B26" s="4" t="s">
        <v>44</v>
      </c>
      <c r="C26" s="4" t="s">
        <v>45</v>
      </c>
      <c r="D26" s="5" t="s">
        <v>46</v>
      </c>
      <c r="E26" s="4" t="s">
        <v>55</v>
      </c>
      <c r="F26" s="4" t="s">
        <v>48</v>
      </c>
      <c r="G26" s="5" t="s">
        <v>56</v>
      </c>
      <c r="H26" s="4" t="s">
        <v>50</v>
      </c>
      <c r="I26" s="6" t="s">
        <v>58</v>
      </c>
      <c r="J26" s="7">
        <f t="shared" si="1"/>
        <v>100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9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  <c r="AM26" s="8">
        <v>0.0</v>
      </c>
      <c r="AN26" s="8">
        <v>25.0</v>
      </c>
      <c r="AO26" s="8">
        <v>25.0</v>
      </c>
      <c r="AP26" s="8">
        <v>25.0</v>
      </c>
      <c r="AQ26" s="8">
        <v>25.0</v>
      </c>
      <c r="AR26" s="8">
        <f t="shared" si="2"/>
        <v>1</v>
      </c>
    </row>
    <row r="27">
      <c r="A27" s="3">
        <v>46202.0</v>
      </c>
      <c r="B27" s="4" t="s">
        <v>44</v>
      </c>
      <c r="C27" s="4" t="s">
        <v>45</v>
      </c>
      <c r="D27" s="5" t="s">
        <v>46</v>
      </c>
      <c r="E27" s="4" t="s">
        <v>47</v>
      </c>
      <c r="F27" s="4" t="s">
        <v>48</v>
      </c>
      <c r="G27" s="5" t="s">
        <v>57</v>
      </c>
      <c r="H27" s="4" t="s">
        <v>50</v>
      </c>
      <c r="I27" s="6" t="s">
        <v>58</v>
      </c>
      <c r="J27" s="7">
        <f t="shared" si="1"/>
        <v>100</v>
      </c>
      <c r="K27" s="8">
        <v>10.0</v>
      </c>
      <c r="L27" s="8">
        <v>15.0</v>
      </c>
      <c r="M27" s="8">
        <v>0.0</v>
      </c>
      <c r="N27" s="8">
        <v>15.0</v>
      </c>
      <c r="O27" s="8">
        <v>15.0</v>
      </c>
      <c r="P27" s="8">
        <v>0.0</v>
      </c>
      <c r="Q27" s="8">
        <v>0.0</v>
      </c>
      <c r="R27" s="8">
        <v>0.0</v>
      </c>
      <c r="S27" s="9">
        <v>0.0</v>
      </c>
      <c r="T27" s="9">
        <v>15.0</v>
      </c>
      <c r="U27" s="8">
        <v>10.0</v>
      </c>
      <c r="V27" s="8">
        <v>0.0</v>
      </c>
      <c r="W27" s="8">
        <v>10.0</v>
      </c>
      <c r="X27" s="8">
        <v>0.0</v>
      </c>
      <c r="Y27" s="8">
        <v>10.0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f t="shared" si="2"/>
        <v>1</v>
      </c>
    </row>
    <row r="28">
      <c r="A28" s="3">
        <v>46202.0</v>
      </c>
      <c r="B28" s="4" t="s">
        <v>44</v>
      </c>
      <c r="C28" s="4" t="s">
        <v>45</v>
      </c>
      <c r="D28" s="5" t="s">
        <v>46</v>
      </c>
      <c r="E28" s="4" t="s">
        <v>52</v>
      </c>
      <c r="F28" s="4" t="s">
        <v>48</v>
      </c>
      <c r="G28" s="5" t="s">
        <v>57</v>
      </c>
      <c r="H28" s="4" t="s">
        <v>50</v>
      </c>
      <c r="I28" s="6" t="s">
        <v>58</v>
      </c>
      <c r="J28" s="7">
        <f t="shared" si="1"/>
        <v>100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9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15.0</v>
      </c>
      <c r="AA28" s="8">
        <v>20.0</v>
      </c>
      <c r="AB28" s="8">
        <v>20.0</v>
      </c>
      <c r="AC28" s="8">
        <v>15.0</v>
      </c>
      <c r="AD28" s="8">
        <v>15.0</v>
      </c>
      <c r="AE28" s="8">
        <v>15.0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f t="shared" si="2"/>
        <v>1</v>
      </c>
    </row>
    <row r="29">
      <c r="A29" s="3">
        <v>46202.0</v>
      </c>
      <c r="B29" s="4" t="s">
        <v>44</v>
      </c>
      <c r="C29" s="4" t="s">
        <v>45</v>
      </c>
      <c r="D29" s="5" t="s">
        <v>46</v>
      </c>
      <c r="E29" s="4" t="s">
        <v>53</v>
      </c>
      <c r="F29" s="4" t="s">
        <v>48</v>
      </c>
      <c r="G29" s="5" t="s">
        <v>57</v>
      </c>
      <c r="H29" s="4" t="s">
        <v>50</v>
      </c>
      <c r="I29" s="6" t="s">
        <v>58</v>
      </c>
      <c r="J29" s="7">
        <f t="shared" si="1"/>
        <v>100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9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30.0</v>
      </c>
      <c r="AG29" s="8">
        <v>25.0</v>
      </c>
      <c r="AH29" s="8">
        <v>25.0</v>
      </c>
      <c r="AI29" s="8">
        <v>20.0</v>
      </c>
      <c r="AJ29" s="8">
        <v>0.0</v>
      </c>
      <c r="AK29" s="8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f t="shared" si="2"/>
        <v>1</v>
      </c>
    </row>
    <row r="30">
      <c r="A30" s="3">
        <v>46202.0</v>
      </c>
      <c r="B30" s="4" t="s">
        <v>44</v>
      </c>
      <c r="C30" s="4" t="s">
        <v>45</v>
      </c>
      <c r="D30" s="5" t="s">
        <v>46</v>
      </c>
      <c r="E30" s="4" t="s">
        <v>54</v>
      </c>
      <c r="F30" s="4" t="s">
        <v>48</v>
      </c>
      <c r="G30" s="5" t="s">
        <v>57</v>
      </c>
      <c r="H30" s="4" t="s">
        <v>50</v>
      </c>
      <c r="I30" s="6" t="s">
        <v>58</v>
      </c>
      <c r="J30" s="7">
        <f t="shared" si="1"/>
        <v>100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9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25.0</v>
      </c>
      <c r="AK30" s="8">
        <v>25.0</v>
      </c>
      <c r="AL30" s="8">
        <v>25.0</v>
      </c>
      <c r="AM30" s="8">
        <v>25.0</v>
      </c>
      <c r="AN30" s="8">
        <v>0.0</v>
      </c>
      <c r="AO30" s="8">
        <v>0.0</v>
      </c>
      <c r="AP30" s="8">
        <v>0.0</v>
      </c>
      <c r="AQ30" s="8">
        <v>0.0</v>
      </c>
      <c r="AR30" s="8">
        <f t="shared" si="2"/>
        <v>1</v>
      </c>
    </row>
    <row r="31">
      <c r="A31" s="3">
        <v>46202.0</v>
      </c>
      <c r="B31" s="4" t="s">
        <v>44</v>
      </c>
      <c r="C31" s="4" t="s">
        <v>45</v>
      </c>
      <c r="D31" s="5" t="s">
        <v>46</v>
      </c>
      <c r="E31" s="4" t="s">
        <v>55</v>
      </c>
      <c r="F31" s="4" t="s">
        <v>48</v>
      </c>
      <c r="G31" s="5" t="s">
        <v>57</v>
      </c>
      <c r="H31" s="4" t="s">
        <v>50</v>
      </c>
      <c r="I31" s="6" t="s">
        <v>58</v>
      </c>
      <c r="J31" s="7">
        <f t="shared" si="1"/>
        <v>100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9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  <c r="AM31" s="8">
        <v>0.0</v>
      </c>
      <c r="AN31" s="8">
        <v>25.0</v>
      </c>
      <c r="AO31" s="8">
        <v>25.0</v>
      </c>
      <c r="AP31" s="8">
        <v>25.0</v>
      </c>
      <c r="AQ31" s="8">
        <v>25.0</v>
      </c>
      <c r="AR31" s="8">
        <f t="shared" si="2"/>
        <v>1</v>
      </c>
    </row>
  </sheetData>
  <autoFilter ref="$A$1:$AR$31"/>
  <drawing r:id="rId1"/>
</worksheet>
</file>